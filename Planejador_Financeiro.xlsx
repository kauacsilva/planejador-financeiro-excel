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ac\Downloads\"/>
    </mc:Choice>
  </mc:AlternateContent>
  <xr:revisionPtr revIDLastSave="0" documentId="13_ncr:1_{D6A1D854-A2D7-44DC-ABC3-F744F1537E5A}" xr6:coauthVersionLast="47" xr6:coauthVersionMax="47" xr10:uidLastSave="{00000000-0000-0000-0000-000000000000}"/>
  <bookViews>
    <workbookView xWindow="-120" yWindow="-120" windowWidth="20730" windowHeight="11040" xr2:uid="{3249D0A5-8E92-4490-83A6-3B1D89926611}"/>
  </bookViews>
  <sheets>
    <sheet name="Planilha" sheetId="3" r:id="rId1"/>
    <sheet name="Perfil " sheetId="4" r:id="rId2"/>
    <sheet name="Base do perfil" sheetId="2" state="hidden" r:id="rId3"/>
    <sheet name="Evolução" sheetId="5" state="hidden" r:id="rId4"/>
  </sheets>
  <definedNames>
    <definedName name="aporte" localSheetId="0">Planilha!$C$24</definedName>
    <definedName name="aporte">#REF!</definedName>
    <definedName name="custo_vida">Planilha!$C$12</definedName>
    <definedName name="meses_reserva">Planilha!$C$18</definedName>
    <definedName name="meta_reserva">Planilha!$C$20</definedName>
    <definedName name="patrimonio">Planilha!$E$10</definedName>
    <definedName name="pct_investir">Planilha!$C$14</definedName>
    <definedName name="qnt_anos">#REF!</definedName>
    <definedName name="qtd_anos">Planilha!$C$25</definedName>
    <definedName name="renda_extra">Planilha!$C$10</definedName>
    <definedName name="renda_total">Planilha!$C$11</definedName>
    <definedName name="rendimento_carteira" localSheetId="0">Planilha!#REF!</definedName>
    <definedName name="rendimento_carteira">#REF!</definedName>
    <definedName name="rendimento_liquido">Planilha!$G$16</definedName>
    <definedName name="reserva_atual">Planilha!$C$19</definedName>
    <definedName name="salario">Planilha!$C$9</definedName>
    <definedName name="sobra">Planilha!$C$13</definedName>
    <definedName name="sugestao_investimento">Planilha!$C$15</definedName>
    <definedName name="taxa_mensal">Planilha!$C$26</definedName>
    <definedName name="total_investido">Planilha!$E$16</definedName>
    <definedName name="tx_mens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" i="5" l="1"/>
  <c r="E9" i="3"/>
  <c r="C9" i="4"/>
  <c r="C10" i="4"/>
  <c r="C11" i="4"/>
  <c r="C12" i="4"/>
  <c r="C13" i="4"/>
  <c r="C8" i="4"/>
  <c r="B3" i="2"/>
  <c r="D5" i="4"/>
  <c r="G22" i="3"/>
  <c r="H22" i="3" s="1"/>
  <c r="F23" i="3"/>
  <c r="F24" i="3"/>
  <c r="F25" i="3"/>
  <c r="F26" i="3"/>
  <c r="F22" i="3"/>
  <c r="G23" i="3"/>
  <c r="H23" i="3" s="1"/>
  <c r="G24" i="3"/>
  <c r="H24" i="3" s="1"/>
  <c r="G25" i="3"/>
  <c r="H25" i="3" s="1"/>
  <c r="G26" i="3"/>
  <c r="H26" i="3" s="1"/>
  <c r="E16" i="3"/>
  <c r="C20" i="3"/>
  <c r="C21" i="3" s="1"/>
  <c r="C11" i="3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E5" i="5"/>
  <c r="C110" i="5" s="1"/>
  <c r="C128" i="5" l="1"/>
  <c r="D128" i="5" s="1"/>
  <c r="C130" i="5"/>
  <c r="D130" i="5" s="1"/>
  <c r="C129" i="5"/>
  <c r="D129" i="5" s="1"/>
  <c r="C126" i="5"/>
  <c r="D126" i="5" s="1"/>
  <c r="C127" i="5"/>
  <c r="D127" i="5" s="1"/>
  <c r="E127" i="5" s="1"/>
  <c r="C125" i="5"/>
  <c r="D125" i="5" s="1"/>
  <c r="C15" i="3"/>
  <c r="C13" i="3"/>
  <c r="E130" i="5"/>
  <c r="F130" i="5"/>
  <c r="G130" i="5" s="1"/>
  <c r="E129" i="5"/>
  <c r="F129" i="5"/>
  <c r="G129" i="5" s="1"/>
  <c r="F128" i="5"/>
  <c r="E128" i="5"/>
  <c r="F127" i="5"/>
  <c r="F126" i="5"/>
  <c r="E126" i="5"/>
  <c r="F125" i="5"/>
  <c r="E125" i="5"/>
  <c r="C122" i="5"/>
  <c r="D122" i="5" s="1"/>
  <c r="C121" i="5"/>
  <c r="D121" i="5" s="1"/>
  <c r="C120" i="5"/>
  <c r="D120" i="5" s="1"/>
  <c r="C119" i="5"/>
  <c r="D119" i="5" s="1"/>
  <c r="C118" i="5"/>
  <c r="D118" i="5" s="1"/>
  <c r="C117" i="5"/>
  <c r="D117" i="5" s="1"/>
  <c r="C116" i="5"/>
  <c r="D116" i="5" s="1"/>
  <c r="C115" i="5"/>
  <c r="D115" i="5" s="1"/>
  <c r="C114" i="5"/>
  <c r="D114" i="5" s="1"/>
  <c r="C113" i="5"/>
  <c r="D113" i="5" s="1"/>
  <c r="C112" i="5"/>
  <c r="D112" i="5" s="1"/>
  <c r="C111" i="5"/>
  <c r="D111" i="5" s="1"/>
  <c r="D110" i="5"/>
  <c r="C109" i="5"/>
  <c r="D109" i="5" s="1"/>
  <c r="C108" i="5"/>
  <c r="D108" i="5" s="1"/>
  <c r="C107" i="5"/>
  <c r="D107" i="5" s="1"/>
  <c r="C106" i="5"/>
  <c r="D106" i="5" s="1"/>
  <c r="C105" i="5"/>
  <c r="D105" i="5" s="1"/>
  <c r="C104" i="5"/>
  <c r="D104" i="5" s="1"/>
  <c r="C103" i="5"/>
  <c r="D103" i="5" s="1"/>
  <c r="C102" i="5"/>
  <c r="D102" i="5" s="1"/>
  <c r="C101" i="5"/>
  <c r="D101" i="5" s="1"/>
  <c r="C100" i="5"/>
  <c r="D100" i="5" s="1"/>
  <c r="C99" i="5"/>
  <c r="D99" i="5" s="1"/>
  <c r="C98" i="5"/>
  <c r="D98" i="5" s="1"/>
  <c r="C97" i="5"/>
  <c r="D97" i="5" s="1"/>
  <c r="C96" i="5"/>
  <c r="D96" i="5" s="1"/>
  <c r="C95" i="5"/>
  <c r="D95" i="5" s="1"/>
  <c r="C94" i="5"/>
  <c r="D94" i="5" s="1"/>
  <c r="C93" i="5"/>
  <c r="D93" i="5" s="1"/>
  <c r="C92" i="5"/>
  <c r="D92" i="5" s="1"/>
  <c r="C14" i="5"/>
  <c r="D14" i="5" s="1"/>
  <c r="C91" i="5"/>
  <c r="D91" i="5" s="1"/>
  <c r="C90" i="5"/>
  <c r="D90" i="5" s="1"/>
  <c r="C89" i="5"/>
  <c r="D89" i="5" s="1"/>
  <c r="C88" i="5"/>
  <c r="D88" i="5" s="1"/>
  <c r="C87" i="5"/>
  <c r="D87" i="5" s="1"/>
  <c r="C86" i="5"/>
  <c r="D86" i="5" s="1"/>
  <c r="C85" i="5"/>
  <c r="D85" i="5" s="1"/>
  <c r="C84" i="5"/>
  <c r="D84" i="5" s="1"/>
  <c r="C83" i="5"/>
  <c r="D83" i="5" s="1"/>
  <c r="C82" i="5"/>
  <c r="D82" i="5" s="1"/>
  <c r="C81" i="5"/>
  <c r="D81" i="5" s="1"/>
  <c r="C80" i="5"/>
  <c r="D80" i="5" s="1"/>
  <c r="C79" i="5"/>
  <c r="D79" i="5" s="1"/>
  <c r="C78" i="5"/>
  <c r="D78" i="5" s="1"/>
  <c r="C77" i="5"/>
  <c r="D77" i="5" s="1"/>
  <c r="C76" i="5"/>
  <c r="D76" i="5" s="1"/>
  <c r="C75" i="5"/>
  <c r="D75" i="5" s="1"/>
  <c r="C74" i="5"/>
  <c r="D74" i="5" s="1"/>
  <c r="C73" i="5"/>
  <c r="D73" i="5" s="1"/>
  <c r="C72" i="5"/>
  <c r="D72" i="5" s="1"/>
  <c r="C71" i="5"/>
  <c r="D71" i="5" s="1"/>
  <c r="C70" i="5"/>
  <c r="D70" i="5" s="1"/>
  <c r="C69" i="5"/>
  <c r="D69" i="5" s="1"/>
  <c r="C68" i="5"/>
  <c r="D68" i="5" s="1"/>
  <c r="C67" i="5"/>
  <c r="D67" i="5" s="1"/>
  <c r="C66" i="5"/>
  <c r="D66" i="5" s="1"/>
  <c r="C65" i="5"/>
  <c r="D65" i="5" s="1"/>
  <c r="C64" i="5"/>
  <c r="D64" i="5" s="1"/>
  <c r="C63" i="5"/>
  <c r="D63" i="5" s="1"/>
  <c r="C62" i="5"/>
  <c r="D62" i="5" s="1"/>
  <c r="C61" i="5"/>
  <c r="D61" i="5" s="1"/>
  <c r="C60" i="5"/>
  <c r="D60" i="5" s="1"/>
  <c r="C59" i="5"/>
  <c r="D59" i="5" s="1"/>
  <c r="C28" i="5"/>
  <c r="D28" i="5" s="1"/>
  <c r="C124" i="5"/>
  <c r="D124" i="5" s="1"/>
  <c r="C58" i="5"/>
  <c r="D58" i="5" s="1"/>
  <c r="C57" i="5"/>
  <c r="D57" i="5" s="1"/>
  <c r="C56" i="5"/>
  <c r="D56" i="5" s="1"/>
  <c r="C55" i="5"/>
  <c r="D55" i="5" s="1"/>
  <c r="C54" i="5"/>
  <c r="D54" i="5" s="1"/>
  <c r="C53" i="5"/>
  <c r="D53" i="5" s="1"/>
  <c r="C52" i="5"/>
  <c r="D52" i="5" s="1"/>
  <c r="C51" i="5"/>
  <c r="D51" i="5" s="1"/>
  <c r="C50" i="5"/>
  <c r="D50" i="5" s="1"/>
  <c r="C49" i="5"/>
  <c r="D49" i="5" s="1"/>
  <c r="C48" i="5"/>
  <c r="D48" i="5" s="1"/>
  <c r="C47" i="5"/>
  <c r="D47" i="5" s="1"/>
  <c r="C46" i="5"/>
  <c r="D46" i="5" s="1"/>
  <c r="C45" i="5"/>
  <c r="D45" i="5" s="1"/>
  <c r="C44" i="5"/>
  <c r="D44" i="5" s="1"/>
  <c r="C43" i="5"/>
  <c r="D43" i="5" s="1"/>
  <c r="C30" i="5"/>
  <c r="D30" i="5" s="1"/>
  <c r="C42" i="5"/>
  <c r="D42" i="5" s="1"/>
  <c r="C41" i="5"/>
  <c r="D41" i="5" s="1"/>
  <c r="C123" i="5"/>
  <c r="D123" i="5" s="1"/>
  <c r="C39" i="5"/>
  <c r="D39" i="5" s="1"/>
  <c r="C38" i="5"/>
  <c r="D38" i="5" s="1"/>
  <c r="C37" i="5"/>
  <c r="D37" i="5" s="1"/>
  <c r="C36" i="5"/>
  <c r="D36" i="5" s="1"/>
  <c r="C35" i="5"/>
  <c r="D35" i="5" s="1"/>
  <c r="C34" i="5"/>
  <c r="D34" i="5" s="1"/>
  <c r="C33" i="5"/>
  <c r="D33" i="5" s="1"/>
  <c r="C32" i="5"/>
  <c r="D32" i="5" s="1"/>
  <c r="C31" i="5"/>
  <c r="D31" i="5" s="1"/>
  <c r="C29" i="5"/>
  <c r="D29" i="5" s="1"/>
  <c r="C27" i="5"/>
  <c r="D27" i="5" s="1"/>
  <c r="C26" i="5"/>
  <c r="D26" i="5" s="1"/>
  <c r="C15" i="5"/>
  <c r="D15" i="5" s="1"/>
  <c r="C11" i="5"/>
  <c r="D11" i="5" s="1"/>
  <c r="C40" i="5"/>
  <c r="D40" i="5" s="1"/>
  <c r="E6" i="5"/>
  <c r="C25" i="5"/>
  <c r="D25" i="5" s="1"/>
  <c r="C24" i="5"/>
  <c r="D24" i="5" s="1"/>
  <c r="C23" i="5"/>
  <c r="D23" i="5" s="1"/>
  <c r="C22" i="5"/>
  <c r="D22" i="5" s="1"/>
  <c r="C21" i="5"/>
  <c r="D21" i="5" s="1"/>
  <c r="C20" i="5"/>
  <c r="D20" i="5" s="1"/>
  <c r="C19" i="5"/>
  <c r="D19" i="5" s="1"/>
  <c r="C18" i="5"/>
  <c r="D18" i="5" s="1"/>
  <c r="C17" i="5"/>
  <c r="D17" i="5" s="1"/>
  <c r="C16" i="5"/>
  <c r="D16" i="5" s="1"/>
  <c r="C13" i="5"/>
  <c r="D13" i="5" s="1"/>
  <c r="C12" i="5"/>
  <c r="D12" i="5" s="1"/>
  <c r="E7" i="5"/>
  <c r="C10" i="5"/>
  <c r="D10" i="5" s="1"/>
  <c r="D11" i="4"/>
  <c r="D10" i="4"/>
  <c r="D9" i="4"/>
  <c r="D12" i="4"/>
  <c r="D13" i="4"/>
  <c r="D8" i="4"/>
  <c r="G16" i="3"/>
  <c r="E10" i="3" s="1"/>
  <c r="G128" i="5" l="1"/>
  <c r="G125" i="5"/>
  <c r="G127" i="5"/>
  <c r="G126" i="5"/>
  <c r="E122" i="5"/>
  <c r="F122" i="5"/>
  <c r="G122" i="5" s="1"/>
  <c r="E121" i="5"/>
  <c r="F121" i="5"/>
  <c r="G121" i="5" s="1"/>
  <c r="E120" i="5"/>
  <c r="F120" i="5"/>
  <c r="G120" i="5" s="1"/>
  <c r="E119" i="5"/>
  <c r="F119" i="5"/>
  <c r="G119" i="5" s="1"/>
  <c r="E118" i="5"/>
  <c r="F118" i="5"/>
  <c r="G118" i="5" s="1"/>
  <c r="E117" i="5"/>
  <c r="F117" i="5"/>
  <c r="G117" i="5" s="1"/>
  <c r="E116" i="5"/>
  <c r="F116" i="5"/>
  <c r="G116" i="5" s="1"/>
  <c r="E115" i="5"/>
  <c r="F115" i="5"/>
  <c r="G115" i="5" s="1"/>
  <c r="E114" i="5"/>
  <c r="F114" i="5"/>
  <c r="G114" i="5" s="1"/>
  <c r="E113" i="5"/>
  <c r="F113" i="5"/>
  <c r="G113" i="5" s="1"/>
  <c r="E112" i="5"/>
  <c r="F112" i="5"/>
  <c r="G112" i="5" s="1"/>
  <c r="E111" i="5"/>
  <c r="F111" i="5"/>
  <c r="G111" i="5" s="1"/>
  <c r="E110" i="5"/>
  <c r="F110" i="5"/>
  <c r="G110" i="5" s="1"/>
  <c r="E109" i="5"/>
  <c r="F109" i="5"/>
  <c r="G109" i="5" s="1"/>
  <c r="E108" i="5"/>
  <c r="F108" i="5"/>
  <c r="E107" i="5"/>
  <c r="F107" i="5"/>
  <c r="G107" i="5" s="1"/>
  <c r="E106" i="5"/>
  <c r="F106" i="5"/>
  <c r="G106" i="5" s="1"/>
  <c r="E105" i="5"/>
  <c r="F105" i="5"/>
  <c r="G105" i="5" s="1"/>
  <c r="E104" i="5"/>
  <c r="F104" i="5"/>
  <c r="G104" i="5" s="1"/>
  <c r="E103" i="5"/>
  <c r="F103" i="5"/>
  <c r="G103" i="5" s="1"/>
  <c r="E102" i="5"/>
  <c r="F102" i="5"/>
  <c r="G102" i="5" s="1"/>
  <c r="E101" i="5"/>
  <c r="F101" i="5"/>
  <c r="G101" i="5" s="1"/>
  <c r="E100" i="5"/>
  <c r="F100" i="5"/>
  <c r="G100" i="5" s="1"/>
  <c r="E99" i="5"/>
  <c r="F99" i="5"/>
  <c r="G99" i="5" s="1"/>
  <c r="E98" i="5"/>
  <c r="F98" i="5"/>
  <c r="G98" i="5" s="1"/>
  <c r="E97" i="5"/>
  <c r="F97" i="5"/>
  <c r="G97" i="5" s="1"/>
  <c r="E96" i="5"/>
  <c r="F96" i="5"/>
  <c r="G96" i="5" s="1"/>
  <c r="E95" i="5"/>
  <c r="F95" i="5"/>
  <c r="E94" i="5"/>
  <c r="F94" i="5"/>
  <c r="G94" i="5" s="1"/>
  <c r="E93" i="5"/>
  <c r="F93" i="5"/>
  <c r="G93" i="5" s="1"/>
  <c r="E92" i="5"/>
  <c r="F92" i="5"/>
  <c r="G92" i="5" s="1"/>
  <c r="F14" i="5"/>
  <c r="E14" i="5"/>
  <c r="E91" i="5"/>
  <c r="F91" i="5"/>
  <c r="G91" i="5" s="1"/>
  <c r="E90" i="5"/>
  <c r="F90" i="5"/>
  <c r="G90" i="5" s="1"/>
  <c r="E89" i="5"/>
  <c r="F89" i="5"/>
  <c r="G89" i="5" s="1"/>
  <c r="E88" i="5"/>
  <c r="F88" i="5"/>
  <c r="G88" i="5" s="1"/>
  <c r="E87" i="5"/>
  <c r="F87" i="5"/>
  <c r="G87" i="5" s="1"/>
  <c r="E86" i="5"/>
  <c r="F86" i="5"/>
  <c r="G86" i="5" s="1"/>
  <c r="E85" i="5"/>
  <c r="F85" i="5"/>
  <c r="G85" i="5" s="1"/>
  <c r="E84" i="5"/>
  <c r="F84" i="5"/>
  <c r="G84" i="5" s="1"/>
  <c r="E83" i="5"/>
  <c r="F83" i="5"/>
  <c r="G83" i="5" s="1"/>
  <c r="E82" i="5"/>
  <c r="F82" i="5"/>
  <c r="G82" i="5" s="1"/>
  <c r="E81" i="5"/>
  <c r="F81" i="5"/>
  <c r="G81" i="5" s="1"/>
  <c r="E80" i="5"/>
  <c r="F80" i="5"/>
  <c r="G80" i="5" s="1"/>
  <c r="E79" i="5"/>
  <c r="F79" i="5"/>
  <c r="G79" i="5" s="1"/>
  <c r="E78" i="5"/>
  <c r="F78" i="5"/>
  <c r="G78" i="5" s="1"/>
  <c r="E77" i="5"/>
  <c r="F77" i="5"/>
  <c r="G77" i="5" s="1"/>
  <c r="E76" i="5"/>
  <c r="F76" i="5"/>
  <c r="G76" i="5" s="1"/>
  <c r="E75" i="5"/>
  <c r="F75" i="5"/>
  <c r="G75" i="5" s="1"/>
  <c r="E74" i="5"/>
  <c r="F74" i="5"/>
  <c r="G74" i="5" s="1"/>
  <c r="E73" i="5"/>
  <c r="F73" i="5"/>
  <c r="G73" i="5" s="1"/>
  <c r="E72" i="5"/>
  <c r="F72" i="5"/>
  <c r="G72" i="5" s="1"/>
  <c r="E71" i="5"/>
  <c r="F71" i="5"/>
  <c r="G71" i="5" s="1"/>
  <c r="E70" i="5"/>
  <c r="F70" i="5"/>
  <c r="G70" i="5" s="1"/>
  <c r="E69" i="5"/>
  <c r="F69" i="5"/>
  <c r="G69" i="5" s="1"/>
  <c r="E68" i="5"/>
  <c r="F68" i="5"/>
  <c r="G68" i="5" s="1"/>
  <c r="E67" i="5"/>
  <c r="F67" i="5"/>
  <c r="G67" i="5" s="1"/>
  <c r="E66" i="5"/>
  <c r="F66" i="5"/>
  <c r="G66" i="5" s="1"/>
  <c r="E65" i="5"/>
  <c r="F65" i="5"/>
  <c r="G65" i="5" s="1"/>
  <c r="E64" i="5"/>
  <c r="F64" i="5"/>
  <c r="G64" i="5" s="1"/>
  <c r="E63" i="5"/>
  <c r="F63" i="5"/>
  <c r="G63" i="5" s="1"/>
  <c r="E62" i="5"/>
  <c r="F62" i="5"/>
  <c r="G62" i="5" s="1"/>
  <c r="E61" i="5"/>
  <c r="F61" i="5"/>
  <c r="G61" i="5" s="1"/>
  <c r="F60" i="5"/>
  <c r="E60" i="5"/>
  <c r="F59" i="5"/>
  <c r="E59" i="5"/>
  <c r="E28" i="5"/>
  <c r="F28" i="5"/>
  <c r="G28" i="5" s="1"/>
  <c r="F124" i="5"/>
  <c r="E124" i="5"/>
  <c r="E58" i="5"/>
  <c r="F58" i="5"/>
  <c r="G58" i="5" s="1"/>
  <c r="E57" i="5"/>
  <c r="F57" i="5"/>
  <c r="G57" i="5" s="1"/>
  <c r="E56" i="5"/>
  <c r="F56" i="5"/>
  <c r="G56" i="5" s="1"/>
  <c r="E55" i="5"/>
  <c r="F55" i="5"/>
  <c r="G55" i="5" s="1"/>
  <c r="E54" i="5"/>
  <c r="F54" i="5"/>
  <c r="G54" i="5" s="1"/>
  <c r="E53" i="5"/>
  <c r="F53" i="5"/>
  <c r="G53" i="5" s="1"/>
  <c r="E52" i="5"/>
  <c r="F52" i="5"/>
  <c r="G52" i="5" s="1"/>
  <c r="E51" i="5"/>
  <c r="F51" i="5"/>
  <c r="G51" i="5" s="1"/>
  <c r="E50" i="5"/>
  <c r="F50" i="5"/>
  <c r="G50" i="5" s="1"/>
  <c r="E49" i="5"/>
  <c r="F49" i="5"/>
  <c r="G49" i="5" s="1"/>
  <c r="E48" i="5"/>
  <c r="F48" i="5"/>
  <c r="G48" i="5" s="1"/>
  <c r="E47" i="5"/>
  <c r="F47" i="5"/>
  <c r="G47" i="5" s="1"/>
  <c r="E46" i="5"/>
  <c r="F46" i="5"/>
  <c r="G46" i="5" s="1"/>
  <c r="E45" i="5"/>
  <c r="F45" i="5"/>
  <c r="G45" i="5" s="1"/>
  <c r="E44" i="5"/>
  <c r="F44" i="5"/>
  <c r="G44" i="5" s="1"/>
  <c r="E43" i="5"/>
  <c r="F43" i="5"/>
  <c r="G43" i="5" s="1"/>
  <c r="E30" i="5"/>
  <c r="F30" i="5"/>
  <c r="G30" i="5" s="1"/>
  <c r="E42" i="5"/>
  <c r="F42" i="5"/>
  <c r="G42" i="5" s="1"/>
  <c r="E41" i="5"/>
  <c r="F41" i="5"/>
  <c r="G41" i="5" s="1"/>
  <c r="E123" i="5"/>
  <c r="F123" i="5"/>
  <c r="G123" i="5" s="1"/>
  <c r="E39" i="5"/>
  <c r="F39" i="5"/>
  <c r="G39" i="5" s="1"/>
  <c r="E38" i="5"/>
  <c r="F38" i="5"/>
  <c r="G38" i="5" s="1"/>
  <c r="E37" i="5"/>
  <c r="F37" i="5"/>
  <c r="G37" i="5" s="1"/>
  <c r="E36" i="5"/>
  <c r="F36" i="5"/>
  <c r="G36" i="5" s="1"/>
  <c r="E35" i="5"/>
  <c r="F35" i="5"/>
  <c r="G35" i="5" s="1"/>
  <c r="E34" i="5"/>
  <c r="F34" i="5"/>
  <c r="G34" i="5" s="1"/>
  <c r="E33" i="5"/>
  <c r="F33" i="5"/>
  <c r="G33" i="5" s="1"/>
  <c r="E32" i="5"/>
  <c r="F32" i="5"/>
  <c r="G32" i="5" s="1"/>
  <c r="E31" i="5"/>
  <c r="F31" i="5"/>
  <c r="G31" i="5" s="1"/>
  <c r="F29" i="5"/>
  <c r="E29" i="5"/>
  <c r="F27" i="5"/>
  <c r="E27" i="5"/>
  <c r="E26" i="5"/>
  <c r="F26" i="5"/>
  <c r="G26" i="5" s="1"/>
  <c r="E15" i="5"/>
  <c r="F15" i="5"/>
  <c r="F11" i="5"/>
  <c r="E11" i="5"/>
  <c r="E40" i="5"/>
  <c r="F40" i="5"/>
  <c r="G40" i="5" s="1"/>
  <c r="E25" i="5"/>
  <c r="F25" i="5"/>
  <c r="G25" i="5" s="1"/>
  <c r="E24" i="5"/>
  <c r="F24" i="5"/>
  <c r="G24" i="5" s="1"/>
  <c r="E23" i="5"/>
  <c r="F23" i="5"/>
  <c r="G23" i="5" s="1"/>
  <c r="E22" i="5"/>
  <c r="F22" i="5"/>
  <c r="G22" i="5" s="1"/>
  <c r="E21" i="5"/>
  <c r="F21" i="5"/>
  <c r="G21" i="5" s="1"/>
  <c r="E20" i="5"/>
  <c r="F20" i="5"/>
  <c r="G20" i="5" s="1"/>
  <c r="E19" i="5"/>
  <c r="F19" i="5"/>
  <c r="G19" i="5" s="1"/>
  <c r="E18" i="5"/>
  <c r="F18" i="5"/>
  <c r="G18" i="5" s="1"/>
  <c r="E17" i="5"/>
  <c r="F17" i="5"/>
  <c r="G17" i="5" s="1"/>
  <c r="E16" i="5"/>
  <c r="F16" i="5"/>
  <c r="G16" i="5" s="1"/>
  <c r="F13" i="5"/>
  <c r="E13" i="5"/>
  <c r="E12" i="5"/>
  <c r="F10" i="5"/>
  <c r="E10" i="5"/>
  <c r="G15" i="5" l="1"/>
  <c r="G95" i="5"/>
  <c r="G60" i="5"/>
  <c r="G59" i="5"/>
  <c r="G124" i="5"/>
  <c r="G27" i="5"/>
  <c r="G11" i="5"/>
  <c r="G108" i="5"/>
  <c r="G14" i="5"/>
  <c r="G29" i="5"/>
  <c r="G13" i="5"/>
  <c r="G12" i="5"/>
  <c r="G10" i="5"/>
</calcChain>
</file>

<file path=xl/sharedStrings.xml><?xml version="1.0" encoding="utf-8"?>
<sst xmlns="http://schemas.openxmlformats.org/spreadsheetml/2006/main" count="95" uniqueCount="61">
  <si>
    <t>Moderado</t>
  </si>
  <si>
    <t>Agressivo</t>
  </si>
  <si>
    <t>Conservador</t>
  </si>
  <si>
    <t>PERFIL</t>
  </si>
  <si>
    <t>PAPEL</t>
  </si>
  <si>
    <t>TIJOLO</t>
  </si>
  <si>
    <t>HIBRIDOS</t>
  </si>
  <si>
    <t>FOFs</t>
  </si>
  <si>
    <t>DESENVOLVIMENTO</t>
  </si>
  <si>
    <t>HOTELARIAS</t>
  </si>
  <si>
    <t>%</t>
  </si>
  <si>
    <t>CHAVE</t>
  </si>
  <si>
    <t>TIPOS DE FIIs</t>
  </si>
  <si>
    <t>Planejador Financeiro</t>
  </si>
  <si>
    <t>Salário</t>
  </si>
  <si>
    <t>Renda extra</t>
  </si>
  <si>
    <t>Quanto investir por mês</t>
  </si>
  <si>
    <t>Custo de vida</t>
  </si>
  <si>
    <t>Sobra do mês</t>
  </si>
  <si>
    <t>Valor sugerido</t>
  </si>
  <si>
    <t>RESERVA DE EMERGÊNCIA</t>
  </si>
  <si>
    <t>Meta de reserva</t>
  </si>
  <si>
    <t>Restante</t>
  </si>
  <si>
    <t>PLANO DE INVESTIMENTO</t>
  </si>
  <si>
    <t xml:space="preserve">Investir por mês </t>
  </si>
  <si>
    <t>Por quantos anos</t>
  </si>
  <si>
    <t>Rendimento por mês</t>
  </si>
  <si>
    <t>RESULTADO</t>
  </si>
  <si>
    <t>TOTAL INVESTIDO</t>
  </si>
  <si>
    <t>RENDIMENTO</t>
  </si>
  <si>
    <t>Renda mensal</t>
  </si>
  <si>
    <t>Valor recebido</t>
  </si>
  <si>
    <t>Valor investido</t>
  </si>
  <si>
    <t>CENÁRIOS</t>
  </si>
  <si>
    <t>LEGENDA</t>
  </si>
  <si>
    <t>Prazo (Anos)</t>
  </si>
  <si>
    <t>Seu Perfil de Investidor</t>
  </si>
  <si>
    <t>Valor a investir por mês</t>
  </si>
  <si>
    <t>Percentual Sugerido</t>
  </si>
  <si>
    <t>Valor por mês</t>
  </si>
  <si>
    <t>Tipo de Fundo</t>
  </si>
  <si>
    <t>Você preenche</t>
  </si>
  <si>
    <t>Meses de reserva</t>
  </si>
  <si>
    <t>Renda total</t>
  </si>
  <si>
    <t>Reserva atual (Se houver)</t>
  </si>
  <si>
    <t>INVESTIMENTO MENSAL</t>
  </si>
  <si>
    <t>Calculado automaticamente</t>
  </si>
  <si>
    <t>* Valores brutos, sem considerar o desconto do imposto de renda.</t>
  </si>
  <si>
    <t>Perfil de Investidor</t>
  </si>
  <si>
    <t>Evolução do patrimônio</t>
  </si>
  <si>
    <t>Tabela de apoio do gráfico do Painel. Não precisa editar: ela se atualiza sozinha com os valores digitados na aba Planilha.</t>
  </si>
  <si>
    <t>Prazo do gráfico (anos)</t>
  </si>
  <si>
    <t>Mínimo de 1 ano.</t>
  </si>
  <si>
    <t>Prazo do gráfico (meses)</t>
  </si>
  <si>
    <t>Título do gráfico</t>
  </si>
  <si>
    <t>Ponto</t>
  </si>
  <si>
    <t>Ano</t>
  </si>
  <si>
    <t>Mês</t>
  </si>
  <si>
    <t>Total investido</t>
  </si>
  <si>
    <t>Patrimônio</t>
  </si>
  <si>
    <t>Rendimento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</si>
</sst>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4"/>
      <color theme="0"/>
      <name val="Cascadia Code Light"/>
      <family val="3"/>
    </font>
    <font>
      <b/>
      <sz val="14"/>
      <color theme="0"/>
      <name val="Cascadia Code Light"/>
      <family val="3"/>
    </font>
    <font>
      <b/>
      <sz val="18"/>
      <color theme="0"/>
      <name val="Cascadia Code Light"/>
      <family val="3"/>
    </font>
    <font>
      <sz val="14"/>
      <color theme="0"/>
      <name val="Aptos Display"/>
      <family val="2"/>
      <scheme val="major"/>
    </font>
    <font>
      <b/>
      <sz val="16"/>
      <color theme="0"/>
      <name val="Cascadia Code Light"/>
      <family val="3"/>
    </font>
    <font>
      <b/>
      <sz val="16"/>
      <color theme="0"/>
      <name val="Cascadia Mono Light"/>
      <family val="3"/>
    </font>
    <font>
      <b/>
      <sz val="36"/>
      <color theme="0"/>
      <name val="Cascadia Code Light"/>
      <family val="3"/>
    </font>
    <font>
      <sz val="48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22"/>
      <color theme="1"/>
      <name val="Calibri"/>
      <family val="2"/>
    </font>
    <font>
      <i/>
      <sz val="12"/>
      <color theme="1"/>
      <name val="Calibri"/>
      <family val="2"/>
    </font>
    <font>
      <b/>
      <sz val="11"/>
      <color theme="0"/>
      <name val="Cascadia Code Light"/>
      <family val="3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-0.49998474074526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0.499984740745262"/>
      </right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medium">
        <color indexed="64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2" tint="-0.499984740745262"/>
      </right>
      <top style="thin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thin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/>
      <bottom style="thin">
        <color theme="2" tint="-0.49998474074526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7" borderId="10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7" borderId="43" xfId="0" applyFont="1" applyFill="1" applyBorder="1" applyAlignment="1">
      <alignment horizontal="center" vertical="center"/>
    </xf>
    <xf numFmtId="164" fontId="3" fillId="7" borderId="49" xfId="0" applyNumberFormat="1" applyFont="1" applyFill="1" applyBorder="1" applyAlignment="1">
      <alignment horizontal="center" vertical="center"/>
    </xf>
    <xf numFmtId="0" fontId="8" fillId="6" borderId="50" xfId="0" applyFont="1" applyFill="1" applyBorder="1" applyAlignment="1">
      <alignment horizontal="center" vertical="center"/>
    </xf>
    <xf numFmtId="0" fontId="8" fillId="6" borderId="51" xfId="0" applyFont="1" applyFill="1" applyBorder="1" applyAlignment="1">
      <alignment horizontal="center" vertical="center"/>
    </xf>
    <xf numFmtId="0" fontId="8" fillId="6" borderId="52" xfId="0" applyFont="1" applyFill="1" applyBorder="1" applyAlignment="1">
      <alignment horizontal="center" vertical="center"/>
    </xf>
    <xf numFmtId="0" fontId="3" fillId="7" borderId="41" xfId="0" applyFont="1" applyFill="1" applyBorder="1" applyAlignment="1">
      <alignment horizontal="left" vertical="center" indent="1"/>
    </xf>
    <xf numFmtId="0" fontId="3" fillId="7" borderId="44" xfId="0" applyFont="1" applyFill="1" applyBorder="1" applyAlignment="1">
      <alignment horizontal="left" vertical="center" indent="1"/>
    </xf>
    <xf numFmtId="0" fontId="3" fillId="7" borderId="47" xfId="0" applyFont="1" applyFill="1" applyBorder="1" applyAlignment="1">
      <alignment horizontal="left" vertical="center" indent="1"/>
    </xf>
    <xf numFmtId="9" fontId="3" fillId="4" borderId="42" xfId="2" applyFont="1" applyFill="1" applyBorder="1" applyAlignment="1">
      <alignment horizontal="center" vertical="center"/>
    </xf>
    <xf numFmtId="9" fontId="3" fillId="4" borderId="45" xfId="2" applyFont="1" applyFill="1" applyBorder="1" applyAlignment="1">
      <alignment horizontal="center" vertical="center"/>
    </xf>
    <xf numFmtId="9" fontId="3" fillId="4" borderId="48" xfId="2" applyFont="1" applyFill="1" applyBorder="1" applyAlignment="1">
      <alignment horizontal="center" vertical="center"/>
    </xf>
    <xf numFmtId="164" fontId="3" fillId="4" borderId="43" xfId="0" applyNumberFormat="1" applyFont="1" applyFill="1" applyBorder="1" applyAlignment="1">
      <alignment horizontal="center" vertical="center"/>
    </xf>
    <xf numFmtId="164" fontId="3" fillId="4" borderId="46" xfId="0" applyNumberFormat="1" applyFont="1" applyFill="1" applyBorder="1" applyAlignment="1">
      <alignment horizontal="center" vertical="center"/>
    </xf>
    <xf numFmtId="164" fontId="3" fillId="4" borderId="49" xfId="0" applyNumberFormat="1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left" indent="1"/>
    </xf>
    <xf numFmtId="164" fontId="13" fillId="5" borderId="18" xfId="0" applyNumberFormat="1" applyFont="1" applyFill="1" applyBorder="1" applyAlignment="1">
      <alignment horizontal="right" vertical="center" indent="2"/>
    </xf>
    <xf numFmtId="0" fontId="13" fillId="7" borderId="19" xfId="0" applyFont="1" applyFill="1" applyBorder="1" applyAlignment="1">
      <alignment horizontal="left" indent="1"/>
    </xf>
    <xf numFmtId="164" fontId="13" fillId="5" borderId="20" xfId="0" applyNumberFormat="1" applyFont="1" applyFill="1" applyBorder="1" applyAlignment="1">
      <alignment horizontal="right" vertical="center" indent="2"/>
    </xf>
    <xf numFmtId="164" fontId="14" fillId="3" borderId="20" xfId="0" applyNumberFormat="1" applyFont="1" applyFill="1" applyBorder="1" applyAlignment="1">
      <alignment horizontal="right" vertical="center" indent="2"/>
    </xf>
    <xf numFmtId="9" fontId="13" fillId="5" borderId="20" xfId="2" applyFont="1" applyFill="1" applyBorder="1" applyAlignment="1">
      <alignment horizontal="right" vertical="center" indent="2"/>
    </xf>
    <xf numFmtId="0" fontId="13" fillId="7" borderId="21" xfId="0" applyFont="1" applyFill="1" applyBorder="1" applyAlignment="1">
      <alignment horizontal="left" indent="1"/>
    </xf>
    <xf numFmtId="164" fontId="14" fillId="3" borderId="22" xfId="0" applyNumberFormat="1" applyFont="1" applyFill="1" applyBorder="1" applyAlignment="1">
      <alignment horizontal="right" vertical="center" indent="2"/>
    </xf>
    <xf numFmtId="0" fontId="13" fillId="5" borderId="18" xfId="0" applyFont="1" applyFill="1" applyBorder="1" applyAlignment="1">
      <alignment horizontal="center"/>
    </xf>
    <xf numFmtId="164" fontId="13" fillId="5" borderId="20" xfId="1" applyNumberFormat="1" applyFont="1" applyFill="1" applyBorder="1" applyAlignment="1">
      <alignment horizontal="center"/>
    </xf>
    <xf numFmtId="164" fontId="14" fillId="3" borderId="20" xfId="0" applyNumberFormat="1" applyFont="1" applyFill="1" applyBorder="1" applyAlignment="1">
      <alignment horizontal="center"/>
    </xf>
    <xf numFmtId="164" fontId="14" fillId="3" borderId="22" xfId="0" applyNumberFormat="1" applyFont="1" applyFill="1" applyBorder="1" applyAlignment="1">
      <alignment horizontal="center"/>
    </xf>
    <xf numFmtId="1" fontId="14" fillId="4" borderId="23" xfId="0" applyNumberFormat="1" applyFont="1" applyFill="1" applyBorder="1" applyAlignment="1">
      <alignment horizontal="center" vertical="center"/>
    </xf>
    <xf numFmtId="164" fontId="13" fillId="4" borderId="24" xfId="0" applyNumberFormat="1" applyFont="1" applyFill="1" applyBorder="1" applyAlignment="1">
      <alignment horizontal="right" vertical="center"/>
    </xf>
    <xf numFmtId="164" fontId="13" fillId="4" borderId="25" xfId="0" applyNumberFormat="1" applyFont="1" applyFill="1" applyBorder="1" applyAlignment="1">
      <alignment horizontal="right" vertical="center"/>
    </xf>
    <xf numFmtId="1" fontId="14" fillId="4" borderId="19" xfId="0" applyNumberFormat="1" applyFont="1" applyFill="1" applyBorder="1" applyAlignment="1">
      <alignment horizontal="center" vertical="center"/>
    </xf>
    <xf numFmtId="164" fontId="13" fillId="4" borderId="26" xfId="0" applyNumberFormat="1" applyFont="1" applyFill="1" applyBorder="1" applyAlignment="1">
      <alignment horizontal="right" vertical="center"/>
    </xf>
    <xf numFmtId="164" fontId="13" fillId="4" borderId="20" xfId="0" applyNumberFormat="1" applyFont="1" applyFill="1" applyBorder="1" applyAlignment="1">
      <alignment horizontal="right" vertical="center"/>
    </xf>
    <xf numFmtId="1" fontId="14" fillId="4" borderId="21" xfId="0" applyNumberFormat="1" applyFont="1" applyFill="1" applyBorder="1" applyAlignment="1">
      <alignment horizontal="center" vertical="center"/>
    </xf>
    <xf numFmtId="164" fontId="13" fillId="4" borderId="27" xfId="0" applyNumberFormat="1" applyFont="1" applyFill="1" applyBorder="1" applyAlignment="1">
      <alignment horizontal="right" vertical="center"/>
    </xf>
    <xf numFmtId="164" fontId="13" fillId="4" borderId="22" xfId="0" applyNumberFormat="1" applyFont="1" applyFill="1" applyBorder="1" applyAlignment="1">
      <alignment horizontal="right" vertical="center"/>
    </xf>
    <xf numFmtId="0" fontId="13" fillId="7" borderId="29" xfId="0" applyFont="1" applyFill="1" applyBorder="1" applyAlignment="1">
      <alignment horizontal="left" indent="1"/>
    </xf>
    <xf numFmtId="164" fontId="13" fillId="5" borderId="30" xfId="0" applyNumberFormat="1" applyFont="1" applyFill="1" applyBorder="1" applyAlignment="1">
      <alignment horizontal="center"/>
    </xf>
    <xf numFmtId="1" fontId="13" fillId="5" borderId="20" xfId="0" applyNumberFormat="1" applyFont="1" applyFill="1" applyBorder="1" applyAlignment="1">
      <alignment horizontal="center"/>
    </xf>
    <xf numFmtId="9" fontId="13" fillId="5" borderId="22" xfId="2" applyFont="1" applyFill="1" applyBorder="1" applyAlignment="1">
      <alignment horizontal="center"/>
    </xf>
    <xf numFmtId="0" fontId="16" fillId="0" borderId="0" xfId="0" applyFont="1" applyAlignment="1">
      <alignment horizontal="left" indent="1"/>
    </xf>
    <xf numFmtId="0" fontId="0" fillId="4" borderId="0" xfId="0" applyFill="1" applyAlignment="1">
      <alignment horizontal="center"/>
    </xf>
    <xf numFmtId="0" fontId="2" fillId="0" borderId="0" xfId="3" applyFill="1" applyAlignment="1">
      <alignment horizontal="center"/>
    </xf>
    <xf numFmtId="9" fontId="2" fillId="0" borderId="0" xfId="2" applyFont="1" applyFill="1" applyAlignment="1">
      <alignment horizontal="center"/>
    </xf>
    <xf numFmtId="0" fontId="17" fillId="6" borderId="15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9" fontId="0" fillId="4" borderId="4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9" fontId="0" fillId="4" borderId="6" xfId="0" applyNumberFormat="1" applyFill="1" applyBorder="1" applyAlignment="1">
      <alignment horizontal="center"/>
    </xf>
    <xf numFmtId="9" fontId="0" fillId="4" borderId="4" xfId="2" applyFont="1" applyFill="1" applyBorder="1" applyAlignment="1">
      <alignment horizontal="center"/>
    </xf>
    <xf numFmtId="9" fontId="0" fillId="4" borderId="6" xfId="2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1" fontId="13" fillId="4" borderId="26" xfId="0" applyNumberFormat="1" applyFont="1" applyFill="1" applyBorder="1" applyAlignment="1">
      <alignment horizontal="center" vertical="center"/>
    </xf>
    <xf numFmtId="2" fontId="13" fillId="4" borderId="26" xfId="0" applyNumberFormat="1" applyFont="1" applyFill="1" applyBorder="1" applyAlignment="1">
      <alignment horizontal="right" vertical="center"/>
    </xf>
    <xf numFmtId="1" fontId="13" fillId="4" borderId="26" xfId="0" applyNumberFormat="1" applyFont="1" applyFill="1" applyBorder="1" applyAlignment="1">
      <alignment horizontal="right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5" borderId="53" xfId="0" applyFont="1" applyFill="1" applyBorder="1" applyAlignment="1">
      <alignment horizontal="center" vertical="center"/>
    </xf>
    <xf numFmtId="0" fontId="13" fillId="5" borderId="40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left" indent="1"/>
    </xf>
    <xf numFmtId="0" fontId="11" fillId="8" borderId="0" xfId="0" applyFont="1" applyFill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164" fontId="12" fillId="4" borderId="3" xfId="0" applyNumberFormat="1" applyFont="1" applyFill="1" applyBorder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164" fontId="12" fillId="4" borderId="4" xfId="0" applyNumberFormat="1" applyFont="1" applyFill="1" applyBorder="1" applyAlignment="1">
      <alignment horizontal="center" vertical="center"/>
    </xf>
    <xf numFmtId="164" fontId="12" fillId="4" borderId="5" xfId="0" applyNumberFormat="1" applyFont="1" applyFill="1" applyBorder="1" applyAlignment="1">
      <alignment horizontal="center" vertical="center"/>
    </xf>
    <xf numFmtId="164" fontId="12" fillId="4" borderId="14" xfId="0" applyNumberFormat="1" applyFont="1" applyFill="1" applyBorder="1" applyAlignment="1">
      <alignment horizontal="center" vertical="center"/>
    </xf>
    <xf numFmtId="164" fontId="12" fillId="4" borderId="6" xfId="0" applyNumberFormat="1" applyFont="1" applyFill="1" applyBorder="1" applyAlignment="1">
      <alignment horizontal="center" vertical="center"/>
    </xf>
    <xf numFmtId="0" fontId="13" fillId="7" borderId="28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164" fontId="15" fillId="4" borderId="31" xfId="0" applyNumberFormat="1" applyFont="1" applyFill="1" applyBorder="1" applyAlignment="1">
      <alignment horizontal="center" vertical="center"/>
    </xf>
    <xf numFmtId="164" fontId="15" fillId="4" borderId="32" xfId="0" applyNumberFormat="1" applyFont="1" applyFill="1" applyBorder="1" applyAlignment="1">
      <alignment horizontal="center" vertical="center"/>
    </xf>
    <xf numFmtId="164" fontId="15" fillId="4" borderId="5" xfId="0" applyNumberFormat="1" applyFont="1" applyFill="1" applyBorder="1" applyAlignment="1">
      <alignment horizontal="center" vertical="center"/>
    </xf>
    <xf numFmtId="164" fontId="15" fillId="4" borderId="33" xfId="0" applyNumberFormat="1" applyFont="1" applyFill="1" applyBorder="1" applyAlignment="1">
      <alignment horizontal="center" vertical="center"/>
    </xf>
    <xf numFmtId="164" fontId="15" fillId="4" borderId="34" xfId="0" applyNumberFormat="1" applyFont="1" applyFill="1" applyBorder="1" applyAlignment="1">
      <alignment horizontal="center" vertical="center"/>
    </xf>
    <xf numFmtId="164" fontId="15" fillId="4" borderId="35" xfId="0" applyNumberFormat="1" applyFont="1" applyFill="1" applyBorder="1" applyAlignment="1">
      <alignment horizontal="center" vertical="center"/>
    </xf>
    <xf numFmtId="164" fontId="15" fillId="4" borderId="36" xfId="0" applyNumberFormat="1" applyFont="1" applyFill="1" applyBorder="1" applyAlignment="1">
      <alignment horizontal="center" vertical="center"/>
    </xf>
    <xf numFmtId="164" fontId="15" fillId="4" borderId="6" xfId="0" applyNumberFormat="1" applyFont="1" applyFill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left" vertical="center" indent="1"/>
    </xf>
    <xf numFmtId="0" fontId="4" fillId="6" borderId="42" xfId="0" applyFont="1" applyFill="1" applyBorder="1" applyAlignment="1">
      <alignment horizontal="left" vertical="center" indent="1"/>
    </xf>
    <xf numFmtId="0" fontId="4" fillId="6" borderId="47" xfId="0" applyFont="1" applyFill="1" applyBorder="1" applyAlignment="1">
      <alignment horizontal="left" vertical="center" indent="1"/>
    </xf>
    <xf numFmtId="0" fontId="4" fillId="6" borderId="48" xfId="0" applyFont="1" applyFill="1" applyBorder="1" applyAlignment="1">
      <alignment horizontal="left" vertical="center" indent="1"/>
    </xf>
    <xf numFmtId="0" fontId="5" fillId="8" borderId="15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CC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Evolução!$E$7</c:f>
          <c:strCache>
            <c:ptCount val="1"/>
            <c:pt idx="0">
              <c:v>Evolução do patrimônio ao longo de 10 anos*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Evolução!$F$9</c:f>
              <c:strCache>
                <c:ptCount val="1"/>
                <c:pt idx="0">
                  <c:v>Patrimônio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Evolução!$C$10:$C$130</c:f>
              <c:numCache>
                <c:formatCode>0.00</c:formatCode>
                <c:ptCount val="121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0.83333333333333326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1.0833333333333335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1.4166666666666665</c:v>
                </c:pt>
                <c:pt idx="18">
                  <c:v>1.5</c:v>
                </c:pt>
                <c:pt idx="19">
                  <c:v>1.5833333333333333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1.8333333333333333</c:v>
                </c:pt>
                <c:pt idx="23">
                  <c:v>1.9166666666666667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4.3333333333333339</c:v>
                </c:pt>
                <c:pt idx="53">
                  <c:v>4.4166666666666661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5.4166666666666661</c:v>
                </c:pt>
                <c:pt idx="66">
                  <c:v>5.5</c:v>
                </c:pt>
                <c:pt idx="67">
                  <c:v>5.5833333333333339</c:v>
                </c:pt>
                <c:pt idx="68">
                  <c:v>5.6666666666666661</c:v>
                </c:pt>
                <c:pt idx="69">
                  <c:v>5.75</c:v>
                </c:pt>
                <c:pt idx="70">
                  <c:v>5.8333333333333339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6.6666666666666661</c:v>
                </c:pt>
                <c:pt idx="81">
                  <c:v>6.75</c:v>
                </c:pt>
                <c:pt idx="82">
                  <c:v>6.8333333333333339</c:v>
                </c:pt>
                <c:pt idx="83">
                  <c:v>6.9166666666666661</c:v>
                </c:pt>
                <c:pt idx="84">
                  <c:v>7</c:v>
                </c:pt>
                <c:pt idx="85">
                  <c:v>7.0833333333333339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7.9166666666666661</c:v>
                </c:pt>
                <c:pt idx="96">
                  <c:v>8</c:v>
                </c:pt>
                <c:pt idx="97">
                  <c:v>8.0833333333333339</c:v>
                </c:pt>
                <c:pt idx="98">
                  <c:v>8.1666666666666661</c:v>
                </c:pt>
                <c:pt idx="99">
                  <c:v>8.25</c:v>
                </c:pt>
                <c:pt idx="100">
                  <c:v>8.3333333333333339</c:v>
                </c:pt>
                <c:pt idx="101">
                  <c:v>8.4166666666666661</c:v>
                </c:pt>
                <c:pt idx="102">
                  <c:v>8.5</c:v>
                </c:pt>
                <c:pt idx="103">
                  <c:v>8.5833333333333321</c:v>
                </c:pt>
                <c:pt idx="104">
                  <c:v>8.6666666666666679</c:v>
                </c:pt>
                <c:pt idx="105">
                  <c:v>8.75</c:v>
                </c:pt>
                <c:pt idx="106">
                  <c:v>8.8333333333333321</c:v>
                </c:pt>
                <c:pt idx="107">
                  <c:v>8.9166666666666679</c:v>
                </c:pt>
                <c:pt idx="108">
                  <c:v>9</c:v>
                </c:pt>
                <c:pt idx="109">
                  <c:v>9.0833333333333339</c:v>
                </c:pt>
                <c:pt idx="110">
                  <c:v>9.1666666666666661</c:v>
                </c:pt>
                <c:pt idx="111">
                  <c:v>9.25</c:v>
                </c:pt>
                <c:pt idx="112">
                  <c:v>9.3333333333333339</c:v>
                </c:pt>
                <c:pt idx="113">
                  <c:v>9.4166666666666661</c:v>
                </c:pt>
                <c:pt idx="114">
                  <c:v>9.5</c:v>
                </c:pt>
                <c:pt idx="115">
                  <c:v>9.5833333333333339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9.8333333333333321</c:v>
                </c:pt>
                <c:pt idx="119">
                  <c:v>9.9166666666666679</c:v>
                </c:pt>
                <c:pt idx="120">
                  <c:v>10</c:v>
                </c:pt>
              </c:numCache>
            </c:numRef>
          </c:xVal>
          <c:yVal>
            <c:numRef>
              <c:f>Evolução!$F$10:$F$130</c:f>
              <c:numCache>
                <c:formatCode>"R$"\ #,##0.00</c:formatCode>
                <c:ptCount val="121"/>
                <c:pt idx="0">
                  <c:v>0</c:v>
                </c:pt>
                <c:pt idx="1">
                  <c:v>1000.0000000000009</c:v>
                </c:pt>
                <c:pt idx="2">
                  <c:v>2010.0000000000007</c:v>
                </c:pt>
                <c:pt idx="3">
                  <c:v>3030.0999999999913</c:v>
                </c:pt>
                <c:pt idx="4">
                  <c:v>4060.4010000000026</c:v>
                </c:pt>
                <c:pt idx="5">
                  <c:v>5101.0050099999926</c:v>
                </c:pt>
                <c:pt idx="6">
                  <c:v>6152.0150601000132</c:v>
                </c:pt>
                <c:pt idx="7">
                  <c:v>7213.535210700983</c:v>
                </c:pt>
                <c:pt idx="8">
                  <c:v>8285.6705628080217</c:v>
                </c:pt>
                <c:pt idx="9">
                  <c:v>9368.5272684361116</c:v>
                </c:pt>
                <c:pt idx="10">
                  <c:v>10462.212541120474</c:v>
                </c:pt>
                <c:pt idx="11">
                  <c:v>11566.834666531655</c:v>
                </c:pt>
                <c:pt idx="12">
                  <c:v>12682.503013196976</c:v>
                </c:pt>
                <c:pt idx="13">
                  <c:v>13809.328043328949</c:v>
                </c:pt>
                <c:pt idx="14">
                  <c:v>14947.421323762255</c:v>
                </c:pt>
                <c:pt idx="15">
                  <c:v>16096.895536999846</c:v>
                </c:pt>
                <c:pt idx="16">
                  <c:v>17257.864492369881</c:v>
                </c:pt>
                <c:pt idx="17">
                  <c:v>18430.443137293583</c:v>
                </c:pt>
                <c:pt idx="18">
                  <c:v>19614.747568666524</c:v>
                </c:pt>
                <c:pt idx="19">
                  <c:v>20810.895044353161</c:v>
                </c:pt>
                <c:pt idx="20">
                  <c:v>22019.003994796705</c:v>
                </c:pt>
                <c:pt idx="21">
                  <c:v>23239.194034744662</c:v>
                </c:pt>
                <c:pt idx="22">
                  <c:v>24471.585975092137</c:v>
                </c:pt>
                <c:pt idx="23">
                  <c:v>25716.301834843038</c:v>
                </c:pt>
                <c:pt idx="24">
                  <c:v>26973.464853191497</c:v>
                </c:pt>
                <c:pt idx="25">
                  <c:v>28243.199501723426</c:v>
                </c:pt>
                <c:pt idx="26">
                  <c:v>29525.631496740632</c:v>
                </c:pt>
                <c:pt idx="27">
                  <c:v>30820.88781170802</c:v>
                </c:pt>
                <c:pt idx="28">
                  <c:v>32129.09668982511</c:v>
                </c:pt>
                <c:pt idx="29">
                  <c:v>33450.387656723367</c:v>
                </c:pt>
                <c:pt idx="30">
                  <c:v>34784.891533290625</c:v>
                </c:pt>
                <c:pt idx="31">
                  <c:v>36132.740448623488</c:v>
                </c:pt>
                <c:pt idx="32">
                  <c:v>37494.067853109751</c:v>
                </c:pt>
                <c:pt idx="33">
                  <c:v>38869.008531640859</c:v>
                </c:pt>
                <c:pt idx="34">
                  <c:v>40257.69861695727</c:v>
                </c:pt>
                <c:pt idx="35">
                  <c:v>41660.275603126822</c:v>
                </c:pt>
                <c:pt idx="36">
                  <c:v>43076.878359158101</c:v>
                </c:pt>
                <c:pt idx="37">
                  <c:v>44507.64714274968</c:v>
                </c:pt>
                <c:pt idx="38">
                  <c:v>45952.723614177194</c:v>
                </c:pt>
                <c:pt idx="39">
                  <c:v>47412.250850318924</c:v>
                </c:pt>
                <c:pt idx="40">
                  <c:v>48886.373358822158</c:v>
                </c:pt>
                <c:pt idx="41">
                  <c:v>50375.237092410389</c:v>
                </c:pt>
                <c:pt idx="42">
                  <c:v>51878.98946333451</c:v>
                </c:pt>
                <c:pt idx="43">
                  <c:v>53397.779357967811</c:v>
                </c:pt>
                <c:pt idx="44">
                  <c:v>54931.757151547499</c:v>
                </c:pt>
                <c:pt idx="45">
                  <c:v>56481.074723062979</c:v>
                </c:pt>
                <c:pt idx="46">
                  <c:v>58045.885470293637</c:v>
                </c:pt>
                <c:pt idx="47">
                  <c:v>59626.344324996513</c:v>
                </c:pt>
                <c:pt idx="48">
                  <c:v>61222.607768246526</c:v>
                </c:pt>
                <c:pt idx="49">
                  <c:v>62834.833845929003</c:v>
                </c:pt>
                <c:pt idx="50">
                  <c:v>64463.182184388315</c:v>
                </c:pt>
                <c:pt idx="51">
                  <c:v>66107.814006232162</c:v>
                </c:pt>
                <c:pt idx="52">
                  <c:v>67768.892146294456</c:v>
                </c:pt>
                <c:pt idx="53">
                  <c:v>69446.581067757405</c:v>
                </c:pt>
                <c:pt idx="54">
                  <c:v>71141.046878435038</c:v>
                </c:pt>
                <c:pt idx="55">
                  <c:v>72852.457347219344</c:v>
                </c:pt>
                <c:pt idx="56">
                  <c:v>74580.981920691585</c:v>
                </c:pt>
                <c:pt idx="57">
                  <c:v>76326.791739898516</c:v>
                </c:pt>
                <c:pt idx="58">
                  <c:v>78090.05965729749</c:v>
                </c:pt>
                <c:pt idx="59">
                  <c:v>79870.960253870406</c:v>
                </c:pt>
                <c:pt idx="60">
                  <c:v>81669.669856409135</c:v>
                </c:pt>
                <c:pt idx="61">
                  <c:v>83486.366554973225</c:v>
                </c:pt>
                <c:pt idx="62">
                  <c:v>85321.230220523008</c:v>
                </c:pt>
                <c:pt idx="63">
                  <c:v>87174.442522728175</c:v>
                </c:pt>
                <c:pt idx="64">
                  <c:v>89046.186947955488</c:v>
                </c:pt>
                <c:pt idx="65">
                  <c:v>90936.648817435052</c:v>
                </c:pt>
                <c:pt idx="66">
                  <c:v>92846.015305609413</c:v>
                </c:pt>
                <c:pt idx="67">
                  <c:v>94774.475458665474</c:v>
                </c:pt>
                <c:pt idx="68">
                  <c:v>96722.220213252163</c:v>
                </c:pt>
                <c:pt idx="69">
                  <c:v>98689.442415384663</c:v>
                </c:pt>
                <c:pt idx="70">
                  <c:v>100676.33683953856</c:v>
                </c:pt>
                <c:pt idx="71">
                  <c:v>102683.10020793385</c:v>
                </c:pt>
                <c:pt idx="72">
                  <c:v>104709.93121001327</c:v>
                </c:pt>
                <c:pt idx="73">
                  <c:v>106757.03052211339</c:v>
                </c:pt>
                <c:pt idx="74">
                  <c:v>108824.60082733454</c:v>
                </c:pt>
                <c:pt idx="75">
                  <c:v>110912.84683560785</c:v>
                </c:pt>
                <c:pt idx="76">
                  <c:v>113021.97530396395</c:v>
                </c:pt>
                <c:pt idx="77">
                  <c:v>115152.19505700358</c:v>
                </c:pt>
                <c:pt idx="78">
                  <c:v>117303.71700757365</c:v>
                </c:pt>
                <c:pt idx="79">
                  <c:v>119476.75417764932</c:v>
                </c:pt>
                <c:pt idx="80">
                  <c:v>121671.52171942589</c:v>
                </c:pt>
                <c:pt idx="81">
                  <c:v>123888.23693662015</c:v>
                </c:pt>
                <c:pt idx="82">
                  <c:v>126127.11930598639</c:v>
                </c:pt>
                <c:pt idx="83">
                  <c:v>128388.3904990462</c:v>
                </c:pt>
                <c:pt idx="84">
                  <c:v>130672.27440403667</c:v>
                </c:pt>
                <c:pt idx="85">
                  <c:v>132978.99714807697</c:v>
                </c:pt>
                <c:pt idx="86">
                  <c:v>135308.78711955782</c:v>
                </c:pt>
                <c:pt idx="87">
                  <c:v>137661.87499075333</c:v>
                </c:pt>
                <c:pt idx="88">
                  <c:v>140038.49374066095</c:v>
                </c:pt>
                <c:pt idx="89">
                  <c:v>142438.87867806762</c:v>
                </c:pt>
                <c:pt idx="90">
                  <c:v>144863.26746484826</c:v>
                </c:pt>
                <c:pt idx="91">
                  <c:v>147311.90013949669</c:v>
                </c:pt>
                <c:pt idx="92">
                  <c:v>149785.01914089164</c:v>
                </c:pt>
                <c:pt idx="93">
                  <c:v>152282.86933230059</c:v>
                </c:pt>
                <c:pt idx="94">
                  <c:v>154805.69802562366</c:v>
                </c:pt>
                <c:pt idx="95">
                  <c:v>157353.75500587979</c:v>
                </c:pt>
                <c:pt idx="96">
                  <c:v>159927.29255593865</c:v>
                </c:pt>
                <c:pt idx="97">
                  <c:v>162526.56548149808</c:v>
                </c:pt>
                <c:pt idx="98">
                  <c:v>165151.83113631301</c:v>
                </c:pt>
                <c:pt idx="99">
                  <c:v>167803.3494476761</c:v>
                </c:pt>
                <c:pt idx="100">
                  <c:v>170481.38294215288</c:v>
                </c:pt>
                <c:pt idx="101">
                  <c:v>173186.19677157444</c:v>
                </c:pt>
                <c:pt idx="102">
                  <c:v>175918.05873929019</c:v>
                </c:pt>
                <c:pt idx="103">
                  <c:v>178677.23932668299</c:v>
                </c:pt>
                <c:pt idx="104">
                  <c:v>181464.01171994986</c:v>
                </c:pt>
                <c:pt idx="105">
                  <c:v>184278.65183714943</c:v>
                </c:pt>
                <c:pt idx="106">
                  <c:v>187121.4383555208</c:v>
                </c:pt>
                <c:pt idx="107">
                  <c:v>189992.65273907612</c:v>
                </c:pt>
                <c:pt idx="108">
                  <c:v>192892.5792664669</c:v>
                </c:pt>
                <c:pt idx="109">
                  <c:v>195821.5050591316</c:v>
                </c:pt>
                <c:pt idx="110">
                  <c:v>198779.72010972296</c:v>
                </c:pt>
                <c:pt idx="111">
                  <c:v>201767.51731082005</c:v>
                </c:pt>
                <c:pt idx="112">
                  <c:v>204785.19248392835</c:v>
                </c:pt>
                <c:pt idx="113">
                  <c:v>207833.04440876766</c:v>
                </c:pt>
                <c:pt idx="114">
                  <c:v>210911.37485285534</c:v>
                </c:pt>
                <c:pt idx="115">
                  <c:v>214020.48860138384</c:v>
                </c:pt>
                <c:pt idx="116">
                  <c:v>217160.69348739772</c:v>
                </c:pt>
                <c:pt idx="117">
                  <c:v>220332.30042227166</c:v>
                </c:pt>
                <c:pt idx="118">
                  <c:v>223535.62342649428</c:v>
                </c:pt>
                <c:pt idx="119">
                  <c:v>226770.9796607593</c:v>
                </c:pt>
                <c:pt idx="120">
                  <c:v>230038.68945736697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AA-4D4E-BF7D-ED1A7FBD4984}"/>
            </c:ext>
          </c:extLst>
        </c:ser>
        <c:ser>
          <c:idx val="1"/>
          <c:order val="1"/>
          <c:tx>
            <c:strRef>
              <c:f>Evolução!$E$9</c:f>
              <c:strCache>
                <c:ptCount val="1"/>
                <c:pt idx="0">
                  <c:v>Total investido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Evolução!$C$10:$C$130</c:f>
              <c:numCache>
                <c:formatCode>0.00</c:formatCode>
                <c:ptCount val="121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0.83333333333333326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1.0833333333333335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1.4166666666666665</c:v>
                </c:pt>
                <c:pt idx="18">
                  <c:v>1.5</c:v>
                </c:pt>
                <c:pt idx="19">
                  <c:v>1.5833333333333333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1.8333333333333333</c:v>
                </c:pt>
                <c:pt idx="23">
                  <c:v>1.9166666666666667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4.3333333333333339</c:v>
                </c:pt>
                <c:pt idx="53">
                  <c:v>4.4166666666666661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5.4166666666666661</c:v>
                </c:pt>
                <c:pt idx="66">
                  <c:v>5.5</c:v>
                </c:pt>
                <c:pt idx="67">
                  <c:v>5.5833333333333339</c:v>
                </c:pt>
                <c:pt idx="68">
                  <c:v>5.6666666666666661</c:v>
                </c:pt>
                <c:pt idx="69">
                  <c:v>5.75</c:v>
                </c:pt>
                <c:pt idx="70">
                  <c:v>5.8333333333333339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6.6666666666666661</c:v>
                </c:pt>
                <c:pt idx="81">
                  <c:v>6.75</c:v>
                </c:pt>
                <c:pt idx="82">
                  <c:v>6.8333333333333339</c:v>
                </c:pt>
                <c:pt idx="83">
                  <c:v>6.9166666666666661</c:v>
                </c:pt>
                <c:pt idx="84">
                  <c:v>7</c:v>
                </c:pt>
                <c:pt idx="85">
                  <c:v>7.0833333333333339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7.9166666666666661</c:v>
                </c:pt>
                <c:pt idx="96">
                  <c:v>8</c:v>
                </c:pt>
                <c:pt idx="97">
                  <c:v>8.0833333333333339</c:v>
                </c:pt>
                <c:pt idx="98">
                  <c:v>8.1666666666666661</c:v>
                </c:pt>
                <c:pt idx="99">
                  <c:v>8.25</c:v>
                </c:pt>
                <c:pt idx="100">
                  <c:v>8.3333333333333339</c:v>
                </c:pt>
                <c:pt idx="101">
                  <c:v>8.4166666666666661</c:v>
                </c:pt>
                <c:pt idx="102">
                  <c:v>8.5</c:v>
                </c:pt>
                <c:pt idx="103">
                  <c:v>8.5833333333333321</c:v>
                </c:pt>
                <c:pt idx="104">
                  <c:v>8.6666666666666679</c:v>
                </c:pt>
                <c:pt idx="105">
                  <c:v>8.75</c:v>
                </c:pt>
                <c:pt idx="106">
                  <c:v>8.8333333333333321</c:v>
                </c:pt>
                <c:pt idx="107">
                  <c:v>8.9166666666666679</c:v>
                </c:pt>
                <c:pt idx="108">
                  <c:v>9</c:v>
                </c:pt>
                <c:pt idx="109">
                  <c:v>9.0833333333333339</c:v>
                </c:pt>
                <c:pt idx="110">
                  <c:v>9.1666666666666661</c:v>
                </c:pt>
                <c:pt idx="111">
                  <c:v>9.25</c:v>
                </c:pt>
                <c:pt idx="112">
                  <c:v>9.3333333333333339</c:v>
                </c:pt>
                <c:pt idx="113">
                  <c:v>9.4166666666666661</c:v>
                </c:pt>
                <c:pt idx="114">
                  <c:v>9.5</c:v>
                </c:pt>
                <c:pt idx="115">
                  <c:v>9.5833333333333339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9.8333333333333321</c:v>
                </c:pt>
                <c:pt idx="119">
                  <c:v>9.9166666666666679</c:v>
                </c:pt>
                <c:pt idx="120">
                  <c:v>10</c:v>
                </c:pt>
              </c:numCache>
            </c:numRef>
          </c:xVal>
          <c:yVal>
            <c:numRef>
              <c:f>Evolução!$E$10:$E$130</c:f>
              <c:numCache>
                <c:formatCode>"R$"\ #,##0.00</c:formatCode>
                <c:ptCount val="12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13000.000000000002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26000.000000000004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52000.000000000007</c:v>
                </c:pt>
                <c:pt idx="53">
                  <c:v>52999.999999999993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58999.999999999993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102999.99999999999</c:v>
                </c:pt>
                <c:pt idx="104">
                  <c:v>104000.00000000001</c:v>
                </c:pt>
                <c:pt idx="105">
                  <c:v>105000</c:v>
                </c:pt>
                <c:pt idx="106">
                  <c:v>105999.99999999999</c:v>
                </c:pt>
                <c:pt idx="107">
                  <c:v>107000.00000000001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117999.99999999999</c:v>
                </c:pt>
                <c:pt idx="119">
                  <c:v>119000.00000000001</c:v>
                </c:pt>
                <c:pt idx="120">
                  <c:v>120000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AA-4D4E-BF7D-ED1A7FBD4984}"/>
            </c:ext>
          </c:extLst>
        </c:ser>
        <c:ser>
          <c:idx val="2"/>
          <c:order val="2"/>
          <c:tx>
            <c:strRef>
              <c:f>Evolução!$G$9</c:f>
              <c:strCache>
                <c:ptCount val="1"/>
                <c:pt idx="0">
                  <c:v>Rendimento acumulado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Evolução!$C$10:$C$130</c:f>
              <c:numCache>
                <c:formatCode>0.00</c:formatCode>
                <c:ptCount val="121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0.83333333333333326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1.0833333333333335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1.4166666666666665</c:v>
                </c:pt>
                <c:pt idx="18">
                  <c:v>1.5</c:v>
                </c:pt>
                <c:pt idx="19">
                  <c:v>1.5833333333333333</c:v>
                </c:pt>
                <c:pt idx="20">
                  <c:v>1.6666666666666665</c:v>
                </c:pt>
                <c:pt idx="21">
                  <c:v>1.75</c:v>
                </c:pt>
                <c:pt idx="22">
                  <c:v>1.8333333333333333</c:v>
                </c:pt>
                <c:pt idx="23">
                  <c:v>1.9166666666666667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2.166666666666667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</c:v>
                </c:pt>
                <c:pt idx="35">
                  <c:v>2.916666666666667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</c:v>
                </c:pt>
                <c:pt idx="41">
                  <c:v>3.416666666666667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4.3333333333333339</c:v>
                </c:pt>
                <c:pt idx="53">
                  <c:v>4.4166666666666661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4.9166666666666661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5.4166666666666661</c:v>
                </c:pt>
                <c:pt idx="66">
                  <c:v>5.5</c:v>
                </c:pt>
                <c:pt idx="67">
                  <c:v>5.5833333333333339</c:v>
                </c:pt>
                <c:pt idx="68">
                  <c:v>5.6666666666666661</c:v>
                </c:pt>
                <c:pt idx="69">
                  <c:v>5.75</c:v>
                </c:pt>
                <c:pt idx="70">
                  <c:v>5.8333333333333339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6.6666666666666661</c:v>
                </c:pt>
                <c:pt idx="81">
                  <c:v>6.75</c:v>
                </c:pt>
                <c:pt idx="82">
                  <c:v>6.8333333333333339</c:v>
                </c:pt>
                <c:pt idx="83">
                  <c:v>6.9166666666666661</c:v>
                </c:pt>
                <c:pt idx="84">
                  <c:v>7</c:v>
                </c:pt>
                <c:pt idx="85">
                  <c:v>7.0833333333333339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7.9166666666666661</c:v>
                </c:pt>
                <c:pt idx="96">
                  <c:v>8</c:v>
                </c:pt>
                <c:pt idx="97">
                  <c:v>8.0833333333333339</c:v>
                </c:pt>
                <c:pt idx="98">
                  <c:v>8.1666666666666661</c:v>
                </c:pt>
                <c:pt idx="99">
                  <c:v>8.25</c:v>
                </c:pt>
                <c:pt idx="100">
                  <c:v>8.3333333333333339</c:v>
                </c:pt>
                <c:pt idx="101">
                  <c:v>8.4166666666666661</c:v>
                </c:pt>
                <c:pt idx="102">
                  <c:v>8.5</c:v>
                </c:pt>
                <c:pt idx="103">
                  <c:v>8.5833333333333321</c:v>
                </c:pt>
                <c:pt idx="104">
                  <c:v>8.6666666666666679</c:v>
                </c:pt>
                <c:pt idx="105">
                  <c:v>8.75</c:v>
                </c:pt>
                <c:pt idx="106">
                  <c:v>8.8333333333333321</c:v>
                </c:pt>
                <c:pt idx="107">
                  <c:v>8.9166666666666679</c:v>
                </c:pt>
                <c:pt idx="108">
                  <c:v>9</c:v>
                </c:pt>
                <c:pt idx="109">
                  <c:v>9.0833333333333339</c:v>
                </c:pt>
                <c:pt idx="110">
                  <c:v>9.1666666666666661</c:v>
                </c:pt>
                <c:pt idx="111">
                  <c:v>9.25</c:v>
                </c:pt>
                <c:pt idx="112">
                  <c:v>9.3333333333333339</c:v>
                </c:pt>
                <c:pt idx="113">
                  <c:v>9.4166666666666661</c:v>
                </c:pt>
                <c:pt idx="114">
                  <c:v>9.5</c:v>
                </c:pt>
                <c:pt idx="115">
                  <c:v>9.5833333333333339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9.8333333333333321</c:v>
                </c:pt>
                <c:pt idx="119">
                  <c:v>9.9166666666666679</c:v>
                </c:pt>
                <c:pt idx="120">
                  <c:v>10</c:v>
                </c:pt>
              </c:numCache>
            </c:numRef>
          </c:xVal>
          <c:yVal>
            <c:numRef>
              <c:f>Evolução!$G$10:$G$130</c:f>
              <c:numCache>
                <c:formatCode>"R$"\ #,##0.00</c:formatCode>
                <c:ptCount val="121"/>
                <c:pt idx="0">
                  <c:v>0</c:v>
                </c:pt>
                <c:pt idx="1">
                  <c:v>9.0949470177292824E-13</c:v>
                </c:pt>
                <c:pt idx="2">
                  <c:v>10.000000000000682</c:v>
                </c:pt>
                <c:pt idx="3">
                  <c:v>30.099999999991269</c:v>
                </c:pt>
                <c:pt idx="4">
                  <c:v>60.401000000002568</c:v>
                </c:pt>
                <c:pt idx="5">
                  <c:v>101.00500999999258</c:v>
                </c:pt>
                <c:pt idx="6">
                  <c:v>152.01506010001322</c:v>
                </c:pt>
                <c:pt idx="7">
                  <c:v>213.53521070098304</c:v>
                </c:pt>
                <c:pt idx="8">
                  <c:v>285.67056280802171</c:v>
                </c:pt>
                <c:pt idx="9">
                  <c:v>368.52726843611163</c:v>
                </c:pt>
                <c:pt idx="10">
                  <c:v>462.21254112047427</c:v>
                </c:pt>
                <c:pt idx="11">
                  <c:v>566.83466653165488</c:v>
                </c:pt>
                <c:pt idx="12">
                  <c:v>682.5030131969761</c:v>
                </c:pt>
                <c:pt idx="13">
                  <c:v>809.32804332894739</c:v>
                </c:pt>
                <c:pt idx="14">
                  <c:v>947.42132376225527</c:v>
                </c:pt>
                <c:pt idx="15">
                  <c:v>1096.8955369998457</c:v>
                </c:pt>
                <c:pt idx="16">
                  <c:v>1257.8644923698812</c:v>
                </c:pt>
                <c:pt idx="17">
                  <c:v>1430.4431372935833</c:v>
                </c:pt>
                <c:pt idx="18">
                  <c:v>1614.7475686665239</c:v>
                </c:pt>
                <c:pt idx="19">
                  <c:v>1810.8950443531612</c:v>
                </c:pt>
                <c:pt idx="20">
                  <c:v>2019.0039947967052</c:v>
                </c:pt>
                <c:pt idx="21">
                  <c:v>2239.1940347446616</c:v>
                </c:pt>
                <c:pt idx="22">
                  <c:v>2471.5859750921372</c:v>
                </c:pt>
                <c:pt idx="23">
                  <c:v>2716.3018348430378</c:v>
                </c:pt>
                <c:pt idx="24">
                  <c:v>2973.4648531914972</c:v>
                </c:pt>
                <c:pt idx="25">
                  <c:v>3243.1995017234258</c:v>
                </c:pt>
                <c:pt idx="26">
                  <c:v>3525.6314967406288</c:v>
                </c:pt>
                <c:pt idx="27">
                  <c:v>3820.8878117080203</c:v>
                </c:pt>
                <c:pt idx="28">
                  <c:v>4129.0966898251099</c:v>
                </c:pt>
                <c:pt idx="29">
                  <c:v>4450.3876567233674</c:v>
                </c:pt>
                <c:pt idx="30">
                  <c:v>4784.8915332906254</c:v>
                </c:pt>
                <c:pt idx="31">
                  <c:v>5132.7404486234882</c:v>
                </c:pt>
                <c:pt idx="32">
                  <c:v>5494.067853109751</c:v>
                </c:pt>
                <c:pt idx="33">
                  <c:v>5869.0085316408586</c:v>
                </c:pt>
                <c:pt idx="34">
                  <c:v>6257.6986169572701</c:v>
                </c:pt>
                <c:pt idx="35">
                  <c:v>6660.2756031268218</c:v>
                </c:pt>
                <c:pt idx="36">
                  <c:v>7076.8783591581014</c:v>
                </c:pt>
                <c:pt idx="37">
                  <c:v>7507.6471427496799</c:v>
                </c:pt>
                <c:pt idx="38">
                  <c:v>7952.7236141771937</c:v>
                </c:pt>
                <c:pt idx="39">
                  <c:v>8412.2508503189238</c:v>
                </c:pt>
                <c:pt idx="40">
                  <c:v>8886.3733588221585</c:v>
                </c:pt>
                <c:pt idx="41">
                  <c:v>9375.2370924103889</c:v>
                </c:pt>
                <c:pt idx="42">
                  <c:v>9878.9894633345102</c:v>
                </c:pt>
                <c:pt idx="43">
                  <c:v>10397.779357967811</c:v>
                </c:pt>
                <c:pt idx="44">
                  <c:v>10931.757151547499</c:v>
                </c:pt>
                <c:pt idx="45">
                  <c:v>11481.074723062979</c:v>
                </c:pt>
                <c:pt idx="46">
                  <c:v>12045.885470293637</c:v>
                </c:pt>
                <c:pt idx="47">
                  <c:v>12626.344324996513</c:v>
                </c:pt>
                <c:pt idx="48">
                  <c:v>13222.607768246526</c:v>
                </c:pt>
                <c:pt idx="49">
                  <c:v>13834.833845929003</c:v>
                </c:pt>
                <c:pt idx="50">
                  <c:v>14463.182184388315</c:v>
                </c:pt>
                <c:pt idx="51">
                  <c:v>15107.814006232162</c:v>
                </c:pt>
                <c:pt idx="52">
                  <c:v>15768.892146294449</c:v>
                </c:pt>
                <c:pt idx="53">
                  <c:v>16446.581067757412</c:v>
                </c:pt>
                <c:pt idx="54">
                  <c:v>17141.046878435038</c:v>
                </c:pt>
                <c:pt idx="55">
                  <c:v>17852.457347219344</c:v>
                </c:pt>
                <c:pt idx="56">
                  <c:v>18580.981920691585</c:v>
                </c:pt>
                <c:pt idx="57">
                  <c:v>19326.791739898516</c:v>
                </c:pt>
                <c:pt idx="58">
                  <c:v>20090.05965729749</c:v>
                </c:pt>
                <c:pt idx="59">
                  <c:v>20870.960253870413</c:v>
                </c:pt>
                <c:pt idx="60">
                  <c:v>21669.669856409135</c:v>
                </c:pt>
                <c:pt idx="61">
                  <c:v>22486.366554973225</c:v>
                </c:pt>
                <c:pt idx="62">
                  <c:v>23321.230220523008</c:v>
                </c:pt>
                <c:pt idx="63">
                  <c:v>24174.442522728175</c:v>
                </c:pt>
                <c:pt idx="64">
                  <c:v>25046.186947955488</c:v>
                </c:pt>
                <c:pt idx="65">
                  <c:v>25936.648817435052</c:v>
                </c:pt>
                <c:pt idx="66">
                  <c:v>26846.015305609413</c:v>
                </c:pt>
                <c:pt idx="67">
                  <c:v>27774.475458665474</c:v>
                </c:pt>
                <c:pt idx="68">
                  <c:v>28722.220213252163</c:v>
                </c:pt>
                <c:pt idx="69">
                  <c:v>29689.442415384663</c:v>
                </c:pt>
                <c:pt idx="70">
                  <c:v>30676.336839538562</c:v>
                </c:pt>
                <c:pt idx="71">
                  <c:v>31683.10020793385</c:v>
                </c:pt>
                <c:pt idx="72">
                  <c:v>32709.931210013267</c:v>
                </c:pt>
                <c:pt idx="73">
                  <c:v>33757.030522113389</c:v>
                </c:pt>
                <c:pt idx="74">
                  <c:v>34824.600827334536</c:v>
                </c:pt>
                <c:pt idx="75">
                  <c:v>35912.846835607852</c:v>
                </c:pt>
                <c:pt idx="76">
                  <c:v>37021.975303963947</c:v>
                </c:pt>
                <c:pt idx="77">
                  <c:v>38152.195057003584</c:v>
                </c:pt>
                <c:pt idx="78">
                  <c:v>39303.71700757365</c:v>
                </c:pt>
                <c:pt idx="79">
                  <c:v>40476.754177649316</c:v>
                </c:pt>
                <c:pt idx="80">
                  <c:v>41671.521719425888</c:v>
                </c:pt>
                <c:pt idx="81">
                  <c:v>42888.236936620146</c:v>
                </c:pt>
                <c:pt idx="82">
                  <c:v>44127.119305986387</c:v>
                </c:pt>
                <c:pt idx="83">
                  <c:v>45388.390499046203</c:v>
                </c:pt>
                <c:pt idx="84">
                  <c:v>46672.274404036667</c:v>
                </c:pt>
                <c:pt idx="85">
                  <c:v>47978.997148076975</c:v>
                </c:pt>
                <c:pt idx="86">
                  <c:v>49308.787119557819</c:v>
                </c:pt>
                <c:pt idx="87">
                  <c:v>50661.874990753335</c:v>
                </c:pt>
                <c:pt idx="88">
                  <c:v>52038.493740660953</c:v>
                </c:pt>
                <c:pt idx="89">
                  <c:v>53438.878678067616</c:v>
                </c:pt>
                <c:pt idx="90">
                  <c:v>54863.267464848264</c:v>
                </c:pt>
                <c:pt idx="91">
                  <c:v>56311.900139496691</c:v>
                </c:pt>
                <c:pt idx="92">
                  <c:v>57785.019140891643</c:v>
                </c:pt>
                <c:pt idx="93">
                  <c:v>59282.869332300586</c:v>
                </c:pt>
                <c:pt idx="94">
                  <c:v>60805.698025623657</c:v>
                </c:pt>
                <c:pt idx="95">
                  <c:v>62353.755005879793</c:v>
                </c:pt>
                <c:pt idx="96">
                  <c:v>63927.292555938649</c:v>
                </c:pt>
                <c:pt idx="97">
                  <c:v>65526.565481498081</c:v>
                </c:pt>
                <c:pt idx="98">
                  <c:v>67151.831136313005</c:v>
                </c:pt>
                <c:pt idx="99">
                  <c:v>68803.349447676097</c:v>
                </c:pt>
                <c:pt idx="100">
                  <c:v>70481.382942152879</c:v>
                </c:pt>
                <c:pt idx="101">
                  <c:v>72186.196771574439</c:v>
                </c:pt>
                <c:pt idx="102">
                  <c:v>73918.058739290194</c:v>
                </c:pt>
                <c:pt idx="103">
                  <c:v>75677.239326683004</c:v>
                </c:pt>
                <c:pt idx="104">
                  <c:v>77464.011719949849</c:v>
                </c:pt>
                <c:pt idx="105">
                  <c:v>79278.651837149431</c:v>
                </c:pt>
                <c:pt idx="106">
                  <c:v>81121.438355520819</c:v>
                </c:pt>
                <c:pt idx="107">
                  <c:v>82992.652739076104</c:v>
                </c:pt>
                <c:pt idx="108">
                  <c:v>84892.579266466899</c:v>
                </c:pt>
                <c:pt idx="109">
                  <c:v>86821.505059131596</c:v>
                </c:pt>
                <c:pt idx="110">
                  <c:v>88779.720109722955</c:v>
                </c:pt>
                <c:pt idx="111">
                  <c:v>90767.517310820054</c:v>
                </c:pt>
                <c:pt idx="112">
                  <c:v>92785.192483928346</c:v>
                </c:pt>
                <c:pt idx="113">
                  <c:v>94833.044408767659</c:v>
                </c:pt>
                <c:pt idx="114">
                  <c:v>96911.374852855341</c:v>
                </c:pt>
                <c:pt idx="115">
                  <c:v>99020.48860138384</c:v>
                </c:pt>
                <c:pt idx="116">
                  <c:v>101160.69348739772</c:v>
                </c:pt>
                <c:pt idx="117">
                  <c:v>103332.30042227166</c:v>
                </c:pt>
                <c:pt idx="118">
                  <c:v>105535.62342649429</c:v>
                </c:pt>
                <c:pt idx="119">
                  <c:v>107770.97966075929</c:v>
                </c:pt>
                <c:pt idx="120">
                  <c:v>110038.68945736697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AA-4D4E-BF7D-ED1A7FBD4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  <a:headEnd type="none"/>
            </a:ln>
            <a:effectLst>
              <a:glow>
                <a:schemeClr val="accent1">
                  <a:alpha val="29000"/>
                </a:schemeClr>
              </a:glow>
              <a:softEdge rad="0"/>
            </a:effectLst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100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10</xdr:col>
      <xdr:colOff>190500</xdr:colOff>
      <xdr:row>48</xdr:row>
      <xdr:rowOff>0</xdr:rowOff>
    </xdr:to>
    <xdr:graphicFrame macro="">
      <xdr:nvGraphicFramePr>
        <xdr:cNvPr id="2" name="Gráfico de evolução do patrimôni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282B-2DCD-4C86-9944-E00D8CE5CEB4}">
  <dimension ref="A2:H30"/>
  <sheetViews>
    <sheetView showGridLines="0" showRowColHeaders="0" tabSelected="1" zoomScale="85" zoomScaleNormal="85" workbookViewId="0">
      <selection activeCell="P43" sqref="P4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8.75" x14ac:dyDescent="0.3"/>
  <cols>
    <col min="1" max="1" width="2.28515625" style="2" customWidth="1"/>
    <col min="2" max="2" width="33.28515625" style="2" customWidth="1"/>
    <col min="3" max="3" width="19.42578125" style="2" customWidth="1"/>
    <col min="4" max="4" width="3.140625" style="2" customWidth="1"/>
    <col min="5" max="5" width="15.28515625" style="2" bestFit="1" customWidth="1"/>
    <col min="6" max="6" width="18.7109375" style="2" customWidth="1"/>
    <col min="7" max="7" width="20.140625" style="2" bestFit="1" customWidth="1"/>
    <col min="8" max="8" width="18.7109375" style="2" customWidth="1"/>
    <col min="9" max="16384" width="9.140625" style="2"/>
  </cols>
  <sheetData>
    <row r="2" spans="1:8" ht="18.75" customHeight="1" x14ac:dyDescent="0.3">
      <c r="B2" s="72" t="s">
        <v>13</v>
      </c>
      <c r="C2" s="72"/>
      <c r="D2" s="72"/>
      <c r="E2" s="72"/>
      <c r="F2" s="72"/>
      <c r="G2" s="72"/>
      <c r="H2" s="72"/>
    </row>
    <row r="3" spans="1:8" s="3" customFormat="1" ht="36" customHeight="1" x14ac:dyDescent="0.25">
      <c r="A3" s="61"/>
      <c r="B3" s="72"/>
      <c r="C3" s="72"/>
      <c r="D3" s="72"/>
      <c r="E3" s="72"/>
      <c r="F3" s="72"/>
      <c r="G3" s="72"/>
      <c r="H3" s="72"/>
    </row>
    <row r="4" spans="1:8" ht="18" customHeight="1" thickBot="1" x14ac:dyDescent="0.35"/>
    <row r="5" spans="1:8" ht="18" customHeight="1" x14ac:dyDescent="0.3">
      <c r="B5" s="81" t="s">
        <v>34</v>
      </c>
      <c r="C5" s="68" t="s">
        <v>41</v>
      </c>
      <c r="D5" s="69"/>
      <c r="E5" s="70"/>
    </row>
    <row r="6" spans="1:8" ht="18" customHeight="1" thickBot="1" x14ac:dyDescent="0.35">
      <c r="B6" s="82"/>
      <c r="C6" s="65" t="s">
        <v>46</v>
      </c>
      <c r="D6" s="66"/>
      <c r="E6" s="67"/>
    </row>
    <row r="7" spans="1:8" ht="18" customHeight="1" thickBot="1" x14ac:dyDescent="0.35"/>
    <row r="8" spans="1:8" ht="21.95" customHeight="1" thickBot="1" x14ac:dyDescent="0.35">
      <c r="B8" s="73" t="s">
        <v>45</v>
      </c>
      <c r="C8" s="74"/>
      <c r="E8" s="75" t="s">
        <v>27</v>
      </c>
      <c r="F8" s="76"/>
      <c r="G8" s="76"/>
      <c r="H8" s="77"/>
    </row>
    <row r="9" spans="1:8" ht="18" customHeight="1" x14ac:dyDescent="0.3">
      <c r="B9" s="22" t="s">
        <v>14</v>
      </c>
      <c r="C9" s="23">
        <v>3400</v>
      </c>
      <c r="E9" s="78" t="str">
        <f>IF(qtd_anos&lt;=0,"Preencha o plano para ver o resultado",IF(qtd_anos=1,"Em 1 ano você terá","Em "&amp;qtd_anos&amp;" anos você terá*"))</f>
        <v>Em 10 anos você terá*</v>
      </c>
      <c r="F9" s="79"/>
      <c r="G9" s="79"/>
      <c r="H9" s="80"/>
    </row>
    <row r="10" spans="1:8" ht="18" customHeight="1" x14ac:dyDescent="0.3">
      <c r="B10" s="24" t="s">
        <v>15</v>
      </c>
      <c r="C10" s="25">
        <v>400</v>
      </c>
      <c r="E10" s="83">
        <f>total_investido+rendimento_liquido</f>
        <v>230038.68945736697</v>
      </c>
      <c r="F10" s="84"/>
      <c r="G10" s="84"/>
      <c r="H10" s="85"/>
    </row>
    <row r="11" spans="1:8" ht="18" customHeight="1" x14ac:dyDescent="0.3">
      <c r="B11" s="24" t="s">
        <v>43</v>
      </c>
      <c r="C11" s="26">
        <f>salario+renda_extra</f>
        <v>3800</v>
      </c>
      <c r="E11" s="83"/>
      <c r="F11" s="84"/>
      <c r="G11" s="84"/>
      <c r="H11" s="85"/>
    </row>
    <row r="12" spans="1:8" ht="18" customHeight="1" thickBot="1" x14ac:dyDescent="0.35">
      <c r="B12" s="24" t="s">
        <v>17</v>
      </c>
      <c r="C12" s="25">
        <v>2500</v>
      </c>
      <c r="E12" s="86"/>
      <c r="F12" s="87"/>
      <c r="G12" s="87"/>
      <c r="H12" s="88"/>
    </row>
    <row r="13" spans="1:8" ht="18" customHeight="1" x14ac:dyDescent="0.3">
      <c r="B13" s="24" t="s">
        <v>18</v>
      </c>
      <c r="C13" s="26">
        <f>renda_total-custo_vida</f>
        <v>1300</v>
      </c>
    </row>
    <row r="14" spans="1:8" ht="18" customHeight="1" thickBot="1" x14ac:dyDescent="0.35">
      <c r="B14" s="24" t="s">
        <v>16</v>
      </c>
      <c r="C14" s="27">
        <v>0.2</v>
      </c>
    </row>
    <row r="15" spans="1:8" ht="18" customHeight="1" thickBot="1" x14ac:dyDescent="0.35">
      <c r="B15" s="28" t="s">
        <v>19</v>
      </c>
      <c r="C15" s="29">
        <f>renda_total*pct_investir</f>
        <v>760</v>
      </c>
      <c r="E15" s="91" t="s">
        <v>28</v>
      </c>
      <c r="F15" s="89"/>
      <c r="G15" s="89" t="s">
        <v>29</v>
      </c>
      <c r="H15" s="90"/>
    </row>
    <row r="16" spans="1:8" ht="18" customHeight="1" thickBot="1" x14ac:dyDescent="0.35">
      <c r="E16" s="92">
        <f>aporte*qtd_anos*12</f>
        <v>120000</v>
      </c>
      <c r="F16" s="93"/>
      <c r="G16" s="96">
        <f>FV(taxa_mensal,qtd_anos*12,-aporte)-total_investido</f>
        <v>110038.68945736697</v>
      </c>
      <c r="H16" s="97"/>
    </row>
    <row r="17" spans="2:8" ht="21.95" customHeight="1" thickBot="1" x14ac:dyDescent="0.35">
      <c r="B17" s="103" t="s">
        <v>20</v>
      </c>
      <c r="C17" s="74"/>
      <c r="E17" s="94"/>
      <c r="F17" s="95"/>
      <c r="G17" s="98"/>
      <c r="H17" s="99"/>
    </row>
    <row r="18" spans="2:8" ht="18" customHeight="1" x14ac:dyDescent="0.3">
      <c r="B18" s="22" t="s">
        <v>42</v>
      </c>
      <c r="C18" s="30">
        <v>6</v>
      </c>
    </row>
    <row r="19" spans="2:8" ht="18" customHeight="1" thickBot="1" x14ac:dyDescent="0.35">
      <c r="B19" s="24" t="s">
        <v>44</v>
      </c>
      <c r="C19" s="31">
        <v>3000</v>
      </c>
    </row>
    <row r="20" spans="2:8" ht="18" customHeight="1" x14ac:dyDescent="0.3">
      <c r="B20" s="24" t="s">
        <v>21</v>
      </c>
      <c r="C20" s="32">
        <f>custo_vida*meses_reserva</f>
        <v>15000</v>
      </c>
      <c r="E20" s="100" t="s">
        <v>33</v>
      </c>
      <c r="F20" s="101"/>
      <c r="G20" s="101"/>
      <c r="H20" s="102"/>
    </row>
    <row r="21" spans="2:8" ht="18" customHeight="1" thickBot="1" x14ac:dyDescent="0.35">
      <c r="B21" s="28" t="s">
        <v>22</v>
      </c>
      <c r="C21" s="33">
        <f>meta_reserva-reserva_atual</f>
        <v>12000</v>
      </c>
      <c r="E21" s="4" t="s">
        <v>35</v>
      </c>
      <c r="F21" s="5" t="s">
        <v>32</v>
      </c>
      <c r="G21" s="5" t="s">
        <v>31</v>
      </c>
      <c r="H21" s="6" t="s">
        <v>30</v>
      </c>
    </row>
    <row r="22" spans="2:8" ht="18" customHeight="1" thickBot="1" x14ac:dyDescent="0.35">
      <c r="E22" s="34">
        <v>2</v>
      </c>
      <c r="F22" s="35">
        <f>aporte*E22*12</f>
        <v>24000</v>
      </c>
      <c r="G22" s="35">
        <f>FV(taxa_mensal,E22*12,-aporte)</f>
        <v>26973.464853191497</v>
      </c>
      <c r="H22" s="36">
        <f>G22*taxa_mensal</f>
        <v>269.73464853191496</v>
      </c>
    </row>
    <row r="23" spans="2:8" ht="21.95" customHeight="1" thickBot="1" x14ac:dyDescent="0.35">
      <c r="B23" s="73" t="s">
        <v>23</v>
      </c>
      <c r="C23" s="74"/>
      <c r="E23" s="37">
        <v>5</v>
      </c>
      <c r="F23" s="38">
        <f>aporte*E23*12</f>
        <v>60000</v>
      </c>
      <c r="G23" s="38">
        <f>FV(taxa_mensal,E23*12,-aporte)</f>
        <v>81669.669856409135</v>
      </c>
      <c r="H23" s="39">
        <f>G23*taxa_mensal</f>
        <v>816.69669856409132</v>
      </c>
    </row>
    <row r="24" spans="2:8" ht="18" customHeight="1" x14ac:dyDescent="0.3">
      <c r="B24" s="43" t="s">
        <v>24</v>
      </c>
      <c r="C24" s="44">
        <v>1000</v>
      </c>
      <c r="E24" s="37">
        <v>10</v>
      </c>
      <c r="F24" s="38">
        <f>aporte*E24*12</f>
        <v>120000</v>
      </c>
      <c r="G24" s="38">
        <f>FV(taxa_mensal,E24*12,-aporte)</f>
        <v>230038.68945736697</v>
      </c>
      <c r="H24" s="39">
        <f>G24*taxa_mensal</f>
        <v>2300.3868945736699</v>
      </c>
    </row>
    <row r="25" spans="2:8" ht="18" customHeight="1" x14ac:dyDescent="0.3">
      <c r="B25" s="24" t="s">
        <v>25</v>
      </c>
      <c r="C25" s="45">
        <v>10</v>
      </c>
      <c r="E25" s="37">
        <v>20</v>
      </c>
      <c r="F25" s="38">
        <f>aporte*E25*12</f>
        <v>240000</v>
      </c>
      <c r="G25" s="38">
        <f>FV(taxa_mensal,E25*12,-aporte)</f>
        <v>989255.36538736301</v>
      </c>
      <c r="H25" s="39">
        <f>G25*taxa_mensal</f>
        <v>9892.5536538736305</v>
      </c>
    </row>
    <row r="26" spans="2:8" ht="18" customHeight="1" thickBot="1" x14ac:dyDescent="0.35">
      <c r="B26" s="28" t="s">
        <v>26</v>
      </c>
      <c r="C26" s="46">
        <v>0.01</v>
      </c>
      <c r="E26" s="40">
        <v>30</v>
      </c>
      <c r="F26" s="41">
        <f>aporte*E26*12</f>
        <v>360000</v>
      </c>
      <c r="G26" s="41">
        <f>FV(taxa_mensal,E26*12,-aporte)</f>
        <v>3494964.1327685062</v>
      </c>
      <c r="H26" s="42">
        <f>G26*taxa_mensal</f>
        <v>34949.641327685065</v>
      </c>
    </row>
    <row r="27" spans="2:8" ht="18" customHeight="1" x14ac:dyDescent="0.3"/>
    <row r="28" spans="2:8" ht="18" customHeight="1" x14ac:dyDescent="0.3">
      <c r="B28" s="71" t="s">
        <v>47</v>
      </c>
      <c r="C28" s="71"/>
      <c r="D28" s="71"/>
      <c r="E28" s="71"/>
      <c r="F28" s="71"/>
      <c r="G28" s="71"/>
      <c r="H28" s="71"/>
    </row>
    <row r="29" spans="2:8" ht="18" customHeight="1" x14ac:dyDescent="0.3"/>
    <row r="30" spans="2:8" ht="18" customHeight="1" x14ac:dyDescent="0.3"/>
  </sheetData>
  <sheetProtection selectLockedCells="1"/>
  <mergeCells count="16">
    <mergeCell ref="C6:E6"/>
    <mergeCell ref="C5:E5"/>
    <mergeCell ref="B28:H28"/>
    <mergeCell ref="B2:H3"/>
    <mergeCell ref="B23:C23"/>
    <mergeCell ref="E8:H8"/>
    <mergeCell ref="E9:H9"/>
    <mergeCell ref="B5:B6"/>
    <mergeCell ref="E10:H12"/>
    <mergeCell ref="G15:H15"/>
    <mergeCell ref="E15:F15"/>
    <mergeCell ref="E16:F17"/>
    <mergeCell ref="G16:H17"/>
    <mergeCell ref="E20:H20"/>
    <mergeCell ref="B8:C8"/>
    <mergeCell ref="B17:C17"/>
  </mergeCells>
  <dataValidations count="1">
    <dataValidation type="whole" allowBlank="1" showInputMessage="1" showErrorMessage="1" sqref="C25" xr:uid="{6F464ADF-601D-44DC-88C1-AF71AFAA2245}">
      <formula1>0</formula1>
      <formula2>100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ABAC-8C88-4536-BB92-218E34ACF0D3}">
  <dimension ref="B1:D13"/>
  <sheetViews>
    <sheetView showGridLines="0" showRowColHeaders="0" zoomScale="115" zoomScaleNormal="115" workbookViewId="0">
      <selection activeCell="D4" sqref="D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8" customHeight="1" x14ac:dyDescent="0.25"/>
  <cols>
    <col min="1" max="1" width="2.28515625" style="7" customWidth="1"/>
    <col min="2" max="2" width="27.5703125" style="7" customWidth="1"/>
    <col min="3" max="3" width="23.85546875" style="7" bestFit="1" customWidth="1"/>
    <col min="4" max="4" width="17.85546875" style="7" customWidth="1"/>
    <col min="5" max="16384" width="9.140625" style="7"/>
  </cols>
  <sheetData>
    <row r="1" spans="2:4" ht="18" customHeight="1" thickBot="1" x14ac:dyDescent="0.3"/>
    <row r="2" spans="2:4" ht="48.75" customHeight="1" thickBot="1" x14ac:dyDescent="0.3">
      <c r="B2" s="108" t="s">
        <v>48</v>
      </c>
      <c r="C2" s="109"/>
      <c r="D2" s="110"/>
    </row>
    <row r="3" spans="2:4" ht="18" customHeight="1" thickBot="1" x14ac:dyDescent="0.3"/>
    <row r="4" spans="2:4" ht="18" customHeight="1" x14ac:dyDescent="0.25">
      <c r="B4" s="104" t="s">
        <v>36</v>
      </c>
      <c r="C4" s="105"/>
      <c r="D4" s="8" t="s">
        <v>1</v>
      </c>
    </row>
    <row r="5" spans="2:4" ht="18" customHeight="1" thickBot="1" x14ac:dyDescent="0.3">
      <c r="B5" s="106" t="s">
        <v>37</v>
      </c>
      <c r="C5" s="107"/>
      <c r="D5" s="9">
        <f>Planilha!aporte</f>
        <v>1000</v>
      </c>
    </row>
    <row r="6" spans="2:4" ht="18" customHeight="1" thickBot="1" x14ac:dyDescent="0.3"/>
    <row r="7" spans="2:4" ht="18" customHeight="1" thickBot="1" x14ac:dyDescent="0.3">
      <c r="B7" s="10" t="s">
        <v>40</v>
      </c>
      <c r="C7" s="11" t="s">
        <v>38</v>
      </c>
      <c r="D7" s="12" t="s">
        <v>39</v>
      </c>
    </row>
    <row r="8" spans="2:4" ht="18" customHeight="1" x14ac:dyDescent="0.25">
      <c r="B8" s="13" t="s">
        <v>4</v>
      </c>
      <c r="C8" s="16">
        <f>VLOOKUP($D$4&amp;"-"&amp;B8,'Base do perfil'!$B$2:$E$20,4,FALSE)</f>
        <v>0.5</v>
      </c>
      <c r="D8" s="19">
        <f>C8*$D$5</f>
        <v>500</v>
      </c>
    </row>
    <row r="9" spans="2:4" ht="18" customHeight="1" x14ac:dyDescent="0.25">
      <c r="B9" s="14" t="s">
        <v>5</v>
      </c>
      <c r="C9" s="17">
        <f>VLOOKUP($D$4&amp;"-"&amp;B9,'Base do perfil'!$B$2:$E$20,4,FALSE)</f>
        <v>0.1</v>
      </c>
      <c r="D9" s="20">
        <f t="shared" ref="D9:D13" si="0">C9*$D$5</f>
        <v>100</v>
      </c>
    </row>
    <row r="10" spans="2:4" ht="18" customHeight="1" x14ac:dyDescent="0.25">
      <c r="B10" s="14" t="s">
        <v>6</v>
      </c>
      <c r="C10" s="17">
        <f>VLOOKUP($D$4&amp;"-"&amp;B10,'Base do perfil'!$B$2:$E$20,4,FALSE)</f>
        <v>0.05</v>
      </c>
      <c r="D10" s="20">
        <f t="shared" si="0"/>
        <v>50</v>
      </c>
    </row>
    <row r="11" spans="2:4" ht="18" customHeight="1" x14ac:dyDescent="0.25">
      <c r="B11" s="14" t="s">
        <v>7</v>
      </c>
      <c r="C11" s="17">
        <f>VLOOKUP($D$4&amp;"-"&amp;B11,'Base do perfil'!$B$2:$E$20,4,FALSE)</f>
        <v>0.05</v>
      </c>
      <c r="D11" s="20">
        <f t="shared" si="0"/>
        <v>50</v>
      </c>
    </row>
    <row r="12" spans="2:4" ht="18" customHeight="1" x14ac:dyDescent="0.25">
      <c r="B12" s="14" t="s">
        <v>8</v>
      </c>
      <c r="C12" s="17">
        <f>VLOOKUP($D$4&amp;"-"&amp;B12,'Base do perfil'!$B$2:$E$20,4,FALSE)</f>
        <v>0.2</v>
      </c>
      <c r="D12" s="20">
        <f t="shared" si="0"/>
        <v>200</v>
      </c>
    </row>
    <row r="13" spans="2:4" ht="18" customHeight="1" thickBot="1" x14ac:dyDescent="0.3">
      <c r="B13" s="15" t="s">
        <v>9</v>
      </c>
      <c r="C13" s="18">
        <f>VLOOKUP($D$4&amp;"-"&amp;B13,'Base do perfil'!$B$2:$E$20,4,FALSE)</f>
        <v>0.1</v>
      </c>
      <c r="D13" s="21">
        <f t="shared" si="0"/>
        <v>100</v>
      </c>
    </row>
  </sheetData>
  <mergeCells count="3">
    <mergeCell ref="B4:C4"/>
    <mergeCell ref="B5:C5"/>
    <mergeCell ref="B2:D2"/>
  </mergeCells>
  <dataValidations count="1">
    <dataValidation type="list" allowBlank="1" showInputMessage="1" showErrorMessage="1" sqref="D4" xr:uid="{1EFB36EC-606C-438D-B7C8-97DF5029115D}">
      <formula1>"Conservador,Moderado,Agressivo"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94BB-EF81-4C44-8DA2-88B16D0B84FD}">
  <dimension ref="B1:K20"/>
  <sheetViews>
    <sheetView showGridLines="0" showRowColHeaders="0" topLeftCell="A11" workbookViewId="0">
      <selection activeCell="B15" sqref="B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9.140625" style="1"/>
    <col min="2" max="2" width="30.85546875" style="1" bestFit="1" customWidth="1"/>
    <col min="3" max="3" width="12.140625" style="1" bestFit="1" customWidth="1"/>
    <col min="4" max="4" width="20.85546875" style="1" customWidth="1"/>
    <col min="5" max="9" width="9.140625" style="1"/>
    <col min="10" max="10" width="16.85546875" style="1" bestFit="1" customWidth="1"/>
    <col min="11" max="16384" width="9.140625" style="1"/>
  </cols>
  <sheetData>
    <row r="1" spans="2:11" ht="13.5" customHeight="1" thickBot="1" x14ac:dyDescent="0.3"/>
    <row r="2" spans="2:11" ht="17.25" thickBot="1" x14ac:dyDescent="0.3">
      <c r="B2" s="51" t="s">
        <v>11</v>
      </c>
      <c r="C2" s="52" t="s">
        <v>3</v>
      </c>
      <c r="D2" s="52" t="s">
        <v>12</v>
      </c>
      <c r="E2" s="53" t="s">
        <v>10</v>
      </c>
    </row>
    <row r="3" spans="2:11" ht="18" customHeight="1" x14ac:dyDescent="0.25">
      <c r="B3" s="54" t="str">
        <f>C3&amp;"-"&amp;D3</f>
        <v>Conservador-PAPEL</v>
      </c>
      <c r="C3" s="48" t="s">
        <v>2</v>
      </c>
      <c r="D3" s="48" t="s">
        <v>4</v>
      </c>
      <c r="E3" s="55">
        <v>0.3</v>
      </c>
    </row>
    <row r="4" spans="2:11" ht="18" customHeight="1" x14ac:dyDescent="0.25">
      <c r="B4" s="54" t="str">
        <f t="shared" ref="B4:B20" si="0">C4&amp;"-"&amp;D4</f>
        <v>Conservador-TIJOLO</v>
      </c>
      <c r="C4" s="48" t="s">
        <v>2</v>
      </c>
      <c r="D4" s="48" t="s">
        <v>5</v>
      </c>
      <c r="E4" s="55">
        <v>0.5</v>
      </c>
      <c r="J4" s="49"/>
      <c r="K4" s="50"/>
    </row>
    <row r="5" spans="2:11" ht="18" customHeight="1" x14ac:dyDescent="0.25">
      <c r="B5" s="54" t="str">
        <f t="shared" si="0"/>
        <v>Conservador-HIBRIDOS</v>
      </c>
      <c r="C5" s="48" t="s">
        <v>2</v>
      </c>
      <c r="D5" s="48" t="s">
        <v>6</v>
      </c>
      <c r="E5" s="55">
        <v>0.1</v>
      </c>
    </row>
    <row r="6" spans="2:11" ht="18" customHeight="1" x14ac:dyDescent="0.25">
      <c r="B6" s="54" t="str">
        <f t="shared" si="0"/>
        <v>Conservador-FOFs</v>
      </c>
      <c r="C6" s="48" t="s">
        <v>2</v>
      </c>
      <c r="D6" s="48" t="s">
        <v>7</v>
      </c>
      <c r="E6" s="55">
        <v>0.1</v>
      </c>
    </row>
    <row r="7" spans="2:11" ht="18" customHeight="1" x14ac:dyDescent="0.25">
      <c r="B7" s="54" t="str">
        <f t="shared" si="0"/>
        <v>Conservador-DESENVOLVIMENTO</v>
      </c>
      <c r="C7" s="48" t="s">
        <v>2</v>
      </c>
      <c r="D7" s="48" t="s">
        <v>8</v>
      </c>
      <c r="E7" s="55">
        <v>0</v>
      </c>
    </row>
    <row r="8" spans="2:11" ht="18" customHeight="1" thickBot="1" x14ac:dyDescent="0.3">
      <c r="B8" s="56" t="str">
        <f t="shared" si="0"/>
        <v>Conservador-HOTELARIAS</v>
      </c>
      <c r="C8" s="57" t="s">
        <v>2</v>
      </c>
      <c r="D8" s="57" t="s">
        <v>9</v>
      </c>
      <c r="E8" s="58">
        <v>0</v>
      </c>
    </row>
    <row r="9" spans="2:11" ht="18" customHeight="1" x14ac:dyDescent="0.25">
      <c r="B9" s="54" t="str">
        <f t="shared" si="0"/>
        <v>Moderado-PAPEL</v>
      </c>
      <c r="C9" s="48" t="s">
        <v>0</v>
      </c>
      <c r="D9" s="48" t="s">
        <v>4</v>
      </c>
      <c r="E9" s="59">
        <v>0.32</v>
      </c>
    </row>
    <row r="10" spans="2:11" ht="18" customHeight="1" x14ac:dyDescent="0.25">
      <c r="B10" s="54" t="str">
        <f t="shared" si="0"/>
        <v>Moderado-TIJOLO</v>
      </c>
      <c r="C10" s="48" t="s">
        <v>0</v>
      </c>
      <c r="D10" s="48" t="s">
        <v>5</v>
      </c>
      <c r="E10" s="59">
        <v>0.35</v>
      </c>
    </row>
    <row r="11" spans="2:11" ht="18" customHeight="1" x14ac:dyDescent="0.25">
      <c r="B11" s="54" t="str">
        <f t="shared" si="0"/>
        <v>Moderado-HIBRIDOS</v>
      </c>
      <c r="C11" s="48" t="s">
        <v>0</v>
      </c>
      <c r="D11" s="48" t="s">
        <v>6</v>
      </c>
      <c r="E11" s="59">
        <v>0.08</v>
      </c>
    </row>
    <row r="12" spans="2:11" ht="18" customHeight="1" x14ac:dyDescent="0.25">
      <c r="B12" s="54" t="str">
        <f t="shared" si="0"/>
        <v>Moderado-FOFs</v>
      </c>
      <c r="C12" s="48" t="s">
        <v>0</v>
      </c>
      <c r="D12" s="48" t="s">
        <v>7</v>
      </c>
      <c r="E12" s="59">
        <v>0.05</v>
      </c>
    </row>
    <row r="13" spans="2:11" ht="18" customHeight="1" x14ac:dyDescent="0.25">
      <c r="B13" s="54" t="str">
        <f t="shared" si="0"/>
        <v>Moderado-DESENVOLVIMENTO</v>
      </c>
      <c r="C13" s="48" t="s">
        <v>0</v>
      </c>
      <c r="D13" s="48" t="s">
        <v>8</v>
      </c>
      <c r="E13" s="59">
        <v>0.1</v>
      </c>
    </row>
    <row r="14" spans="2:11" ht="18" customHeight="1" thickBot="1" x14ac:dyDescent="0.3">
      <c r="B14" s="56" t="str">
        <f t="shared" si="0"/>
        <v>Moderado-HOTELARIAS</v>
      </c>
      <c r="C14" s="57" t="s">
        <v>0</v>
      </c>
      <c r="D14" s="57" t="s">
        <v>9</v>
      </c>
      <c r="E14" s="60">
        <v>0.1</v>
      </c>
    </row>
    <row r="15" spans="2:11" ht="18" customHeight="1" x14ac:dyDescent="0.25">
      <c r="B15" s="54" t="str">
        <f t="shared" si="0"/>
        <v>Agressivo-PAPEL</v>
      </c>
      <c r="C15" s="48" t="s">
        <v>1</v>
      </c>
      <c r="D15" s="48" t="s">
        <v>4</v>
      </c>
      <c r="E15" s="59">
        <v>0.5</v>
      </c>
    </row>
    <row r="16" spans="2:11" ht="18" customHeight="1" x14ac:dyDescent="0.25">
      <c r="B16" s="54" t="str">
        <f t="shared" si="0"/>
        <v>Agressivo-TIJOLO</v>
      </c>
      <c r="C16" s="48" t="s">
        <v>1</v>
      </c>
      <c r="D16" s="48" t="s">
        <v>5</v>
      </c>
      <c r="E16" s="59">
        <v>0.1</v>
      </c>
    </row>
    <row r="17" spans="2:5" ht="18" customHeight="1" x14ac:dyDescent="0.25">
      <c r="B17" s="54" t="str">
        <f t="shared" si="0"/>
        <v>Agressivo-HIBRIDOS</v>
      </c>
      <c r="C17" s="48" t="s">
        <v>1</v>
      </c>
      <c r="D17" s="48" t="s">
        <v>6</v>
      </c>
      <c r="E17" s="59">
        <v>0.05</v>
      </c>
    </row>
    <row r="18" spans="2:5" ht="18" customHeight="1" x14ac:dyDescent="0.25">
      <c r="B18" s="54" t="str">
        <f t="shared" si="0"/>
        <v>Agressivo-FOFs</v>
      </c>
      <c r="C18" s="48" t="s">
        <v>1</v>
      </c>
      <c r="D18" s="48" t="s">
        <v>7</v>
      </c>
      <c r="E18" s="59">
        <v>0.05</v>
      </c>
    </row>
    <row r="19" spans="2:5" ht="18" customHeight="1" x14ac:dyDescent="0.25">
      <c r="B19" s="54" t="str">
        <f t="shared" si="0"/>
        <v>Agressivo-DESENVOLVIMENTO</v>
      </c>
      <c r="C19" s="48" t="s">
        <v>1</v>
      </c>
      <c r="D19" s="48" t="s">
        <v>8</v>
      </c>
      <c r="E19" s="59">
        <v>0.2</v>
      </c>
    </row>
    <row r="20" spans="2:5" ht="18" customHeight="1" thickBot="1" x14ac:dyDescent="0.3">
      <c r="B20" s="56" t="str">
        <f t="shared" si="0"/>
        <v>Agressivo-HOTELARIAS</v>
      </c>
      <c r="C20" s="57" t="s">
        <v>1</v>
      </c>
      <c r="D20" s="57" t="s">
        <v>9</v>
      </c>
      <c r="E20" s="60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30"/>
  <sheetViews>
    <sheetView zoomScale="85" zoomScaleNormal="85" workbookViewId="0">
      <selection activeCell="I6" sqref="I6"/>
    </sheetView>
  </sheetViews>
  <sheetFormatPr defaultRowHeight="18.75" x14ac:dyDescent="0.3"/>
  <cols>
    <col min="1" max="1" width="2.28515625" style="2" customWidth="1"/>
    <col min="2" max="4" width="14.7109375" style="2" customWidth="1"/>
    <col min="5" max="7" width="24.7109375" style="2" customWidth="1"/>
    <col min="8" max="16384" width="9.140625" style="2"/>
  </cols>
  <sheetData>
    <row r="2" spans="2:7" ht="18.75" customHeight="1" x14ac:dyDescent="0.3">
      <c r="B2" s="72" t="s">
        <v>49</v>
      </c>
      <c r="C2" s="72"/>
      <c r="D2" s="72"/>
      <c r="E2" s="72"/>
      <c r="F2" s="72"/>
      <c r="G2" s="72"/>
    </row>
    <row r="3" spans="2:7" ht="36" customHeight="1" x14ac:dyDescent="0.3">
      <c r="B3" s="72"/>
      <c r="C3" s="72"/>
      <c r="D3" s="72"/>
      <c r="E3" s="72"/>
      <c r="F3" s="72"/>
      <c r="G3" s="72"/>
    </row>
    <row r="4" spans="2:7" x14ac:dyDescent="0.3">
      <c r="B4" s="47" t="s">
        <v>50</v>
      </c>
    </row>
    <row r="5" spans="2:7" x14ac:dyDescent="0.3">
      <c r="B5" s="2" t="s">
        <v>51</v>
      </c>
      <c r="E5" s="62">
        <f>MAX(qtd_anos,1)</f>
        <v>10</v>
      </c>
      <c r="F5" s="47" t="s">
        <v>52</v>
      </c>
    </row>
    <row r="6" spans="2:7" x14ac:dyDescent="0.3">
      <c r="B6" s="2" t="s">
        <v>53</v>
      </c>
      <c r="E6" s="62">
        <f>E5*12</f>
        <v>120</v>
      </c>
    </row>
    <row r="7" spans="2:7" x14ac:dyDescent="0.3">
      <c r="B7" s="2" t="s">
        <v>54</v>
      </c>
      <c r="E7" s="2" t="str">
        <f>"Evolução do patrimônio ao longo de "&amp;E5&amp;IF(E5=1," ano"," anos")&amp;"*"</f>
        <v>Evolução do patrimônio ao longo de 10 anos*</v>
      </c>
    </row>
    <row r="9" spans="2:7" ht="21" customHeight="1" x14ac:dyDescent="0.3">
      <c r="B9" s="5" t="s">
        <v>55</v>
      </c>
      <c r="C9" s="5" t="s">
        <v>56</v>
      </c>
      <c r="D9" s="5" t="s">
        <v>57</v>
      </c>
      <c r="E9" s="5" t="s">
        <v>58</v>
      </c>
      <c r="F9" s="5" t="s">
        <v>59</v>
      </c>
      <c r="G9" s="5" t="s">
        <v>60</v>
      </c>
    </row>
    <row r="10" spans="2:7" x14ac:dyDescent="0.3">
      <c r="B10" s="62">
        <v>0</v>
      </c>
      <c r="C10" s="63">
        <f t="shared" ref="C10:C41" si="0">B10/120*$E$5</f>
        <v>0</v>
      </c>
      <c r="D10" s="64">
        <f t="shared" ref="D10:D41" si="1">C10*12</f>
        <v>0</v>
      </c>
      <c r="E10" s="38">
        <f>Planilha!aporte*D10</f>
        <v>0</v>
      </c>
      <c r="F10" s="38">
        <f>FV(taxa_mensal,D10,-Planilha!aporte)</f>
        <v>0</v>
      </c>
      <c r="G10" s="38">
        <f t="shared" ref="G10:G41" si="2">F10-E10</f>
        <v>0</v>
      </c>
    </row>
    <row r="11" spans="2:7" x14ac:dyDescent="0.3">
      <c r="B11" s="62">
        <v>1</v>
      </c>
      <c r="C11" s="63">
        <f t="shared" si="0"/>
        <v>8.3333333333333329E-2</v>
      </c>
      <c r="D11" s="64">
        <f t="shared" si="1"/>
        <v>1</v>
      </c>
      <c r="E11" s="38">
        <f>Planilha!aporte*D11</f>
        <v>1000</v>
      </c>
      <c r="F11" s="38">
        <f>FV(taxa_mensal,D11,-Planilha!aporte)</f>
        <v>1000.0000000000009</v>
      </c>
      <c r="G11" s="38">
        <f t="shared" si="2"/>
        <v>9.0949470177292824E-13</v>
      </c>
    </row>
    <row r="12" spans="2:7" x14ac:dyDescent="0.3">
      <c r="B12" s="62">
        <v>2</v>
      </c>
      <c r="C12" s="63">
        <f t="shared" si="0"/>
        <v>0.16666666666666666</v>
      </c>
      <c r="D12" s="64">
        <f t="shared" si="1"/>
        <v>2</v>
      </c>
      <c r="E12" s="38">
        <f>Planilha!aporte*D12</f>
        <v>2000</v>
      </c>
      <c r="F12" s="38">
        <f>FV(taxa_mensal,D12,-Planilha!aporte)</f>
        <v>2010.0000000000007</v>
      </c>
      <c r="G12" s="38">
        <f t="shared" si="2"/>
        <v>10.000000000000682</v>
      </c>
    </row>
    <row r="13" spans="2:7" x14ac:dyDescent="0.3">
      <c r="B13" s="62">
        <v>3</v>
      </c>
      <c r="C13" s="63">
        <f t="shared" si="0"/>
        <v>0.25</v>
      </c>
      <c r="D13" s="64">
        <f t="shared" si="1"/>
        <v>3</v>
      </c>
      <c r="E13" s="38">
        <f>Planilha!aporte*D13</f>
        <v>3000</v>
      </c>
      <c r="F13" s="38">
        <f>FV(taxa_mensal,D13,-Planilha!aporte)</f>
        <v>3030.0999999999913</v>
      </c>
      <c r="G13" s="38">
        <f t="shared" si="2"/>
        <v>30.099999999991269</v>
      </c>
    </row>
    <row r="14" spans="2:7" x14ac:dyDescent="0.3">
      <c r="B14" s="62">
        <v>4</v>
      </c>
      <c r="C14" s="63">
        <f t="shared" si="0"/>
        <v>0.33333333333333331</v>
      </c>
      <c r="D14" s="64">
        <f t="shared" si="1"/>
        <v>4</v>
      </c>
      <c r="E14" s="38">
        <f>Planilha!aporte*D14</f>
        <v>4000</v>
      </c>
      <c r="F14" s="38">
        <f>FV(taxa_mensal,D14,-Planilha!aporte)</f>
        <v>4060.4010000000026</v>
      </c>
      <c r="G14" s="38">
        <f t="shared" si="2"/>
        <v>60.401000000002568</v>
      </c>
    </row>
    <row r="15" spans="2:7" x14ac:dyDescent="0.3">
      <c r="B15" s="62">
        <v>5</v>
      </c>
      <c r="C15" s="63">
        <f t="shared" si="0"/>
        <v>0.41666666666666663</v>
      </c>
      <c r="D15" s="64">
        <f t="shared" si="1"/>
        <v>5</v>
      </c>
      <c r="E15" s="38">
        <f>Planilha!aporte*D15</f>
        <v>5000</v>
      </c>
      <c r="F15" s="38">
        <f>FV(taxa_mensal,D15,-Planilha!aporte)</f>
        <v>5101.0050099999926</v>
      </c>
      <c r="G15" s="38">
        <f t="shared" si="2"/>
        <v>101.00500999999258</v>
      </c>
    </row>
    <row r="16" spans="2:7" x14ac:dyDescent="0.3">
      <c r="B16" s="62">
        <v>6</v>
      </c>
      <c r="C16" s="63">
        <f t="shared" si="0"/>
        <v>0.5</v>
      </c>
      <c r="D16" s="64">
        <f t="shared" si="1"/>
        <v>6</v>
      </c>
      <c r="E16" s="38">
        <f>Planilha!aporte*D16</f>
        <v>6000</v>
      </c>
      <c r="F16" s="38">
        <f>FV(taxa_mensal,D16,-Planilha!aporte)</f>
        <v>6152.0150601000132</v>
      </c>
      <c r="G16" s="38">
        <f t="shared" si="2"/>
        <v>152.01506010001322</v>
      </c>
    </row>
    <row r="17" spans="2:7" x14ac:dyDescent="0.3">
      <c r="B17" s="62">
        <v>7</v>
      </c>
      <c r="C17" s="63">
        <f t="shared" si="0"/>
        <v>0.58333333333333337</v>
      </c>
      <c r="D17" s="64">
        <f t="shared" si="1"/>
        <v>7</v>
      </c>
      <c r="E17" s="38">
        <f>Planilha!aporte*D17</f>
        <v>7000</v>
      </c>
      <c r="F17" s="38">
        <f>FV(taxa_mensal,D17,-Planilha!aporte)</f>
        <v>7213.535210700983</v>
      </c>
      <c r="G17" s="38">
        <f t="shared" si="2"/>
        <v>213.53521070098304</v>
      </c>
    </row>
    <row r="18" spans="2:7" x14ac:dyDescent="0.3">
      <c r="B18" s="62">
        <v>8</v>
      </c>
      <c r="C18" s="63">
        <f t="shared" si="0"/>
        <v>0.66666666666666663</v>
      </c>
      <c r="D18" s="64">
        <f t="shared" si="1"/>
        <v>8</v>
      </c>
      <c r="E18" s="38">
        <f>Planilha!aporte*D18</f>
        <v>8000</v>
      </c>
      <c r="F18" s="38">
        <f>FV(taxa_mensal,D18,-Planilha!aporte)</f>
        <v>8285.6705628080217</v>
      </c>
      <c r="G18" s="38">
        <f t="shared" si="2"/>
        <v>285.67056280802171</v>
      </c>
    </row>
    <row r="19" spans="2:7" x14ac:dyDescent="0.3">
      <c r="B19" s="62">
        <v>9</v>
      </c>
      <c r="C19" s="63">
        <f t="shared" si="0"/>
        <v>0.75</v>
      </c>
      <c r="D19" s="64">
        <f t="shared" si="1"/>
        <v>9</v>
      </c>
      <c r="E19" s="38">
        <f>Planilha!aporte*D19</f>
        <v>9000</v>
      </c>
      <c r="F19" s="38">
        <f>FV(taxa_mensal,D19,-Planilha!aporte)</f>
        <v>9368.5272684361116</v>
      </c>
      <c r="G19" s="38">
        <f t="shared" si="2"/>
        <v>368.52726843611163</v>
      </c>
    </row>
    <row r="20" spans="2:7" x14ac:dyDescent="0.3">
      <c r="B20" s="62">
        <v>10</v>
      </c>
      <c r="C20" s="63">
        <f t="shared" si="0"/>
        <v>0.83333333333333326</v>
      </c>
      <c r="D20" s="64">
        <f t="shared" si="1"/>
        <v>10</v>
      </c>
      <c r="E20" s="38">
        <f>Planilha!aporte*D20</f>
        <v>10000</v>
      </c>
      <c r="F20" s="38">
        <f>FV(taxa_mensal,D20,-Planilha!aporte)</f>
        <v>10462.212541120474</v>
      </c>
      <c r="G20" s="38">
        <f t="shared" si="2"/>
        <v>462.21254112047427</v>
      </c>
    </row>
    <row r="21" spans="2:7" x14ac:dyDescent="0.3">
      <c r="B21" s="62">
        <v>11</v>
      </c>
      <c r="C21" s="63">
        <f t="shared" si="0"/>
        <v>0.91666666666666663</v>
      </c>
      <c r="D21" s="64">
        <f t="shared" si="1"/>
        <v>11</v>
      </c>
      <c r="E21" s="38">
        <f>Planilha!aporte*D21</f>
        <v>11000</v>
      </c>
      <c r="F21" s="38">
        <f>FV(taxa_mensal,D21,-Planilha!aporte)</f>
        <v>11566.834666531655</v>
      </c>
      <c r="G21" s="38">
        <f t="shared" si="2"/>
        <v>566.83466653165488</v>
      </c>
    </row>
    <row r="22" spans="2:7" x14ac:dyDescent="0.3">
      <c r="B22" s="62">
        <v>12</v>
      </c>
      <c r="C22" s="63">
        <f t="shared" si="0"/>
        <v>1</v>
      </c>
      <c r="D22" s="64">
        <f t="shared" si="1"/>
        <v>12</v>
      </c>
      <c r="E22" s="38">
        <f>Planilha!aporte*D22</f>
        <v>12000</v>
      </c>
      <c r="F22" s="38">
        <f>FV(taxa_mensal,D22,-Planilha!aporte)</f>
        <v>12682.503013196976</v>
      </c>
      <c r="G22" s="38">
        <f t="shared" si="2"/>
        <v>682.5030131969761</v>
      </c>
    </row>
    <row r="23" spans="2:7" x14ac:dyDescent="0.3">
      <c r="B23" s="62">
        <v>13</v>
      </c>
      <c r="C23" s="63">
        <f t="shared" si="0"/>
        <v>1.0833333333333335</v>
      </c>
      <c r="D23" s="64">
        <f t="shared" si="1"/>
        <v>13.000000000000002</v>
      </c>
      <c r="E23" s="38">
        <f>Planilha!aporte*D23</f>
        <v>13000.000000000002</v>
      </c>
      <c r="F23" s="38">
        <f>FV(taxa_mensal,D23,-Planilha!aporte)</f>
        <v>13809.328043328949</v>
      </c>
      <c r="G23" s="38">
        <f t="shared" si="2"/>
        <v>809.32804332894739</v>
      </c>
    </row>
    <row r="24" spans="2:7" x14ac:dyDescent="0.3">
      <c r="B24" s="62">
        <v>14</v>
      </c>
      <c r="C24" s="63">
        <f t="shared" si="0"/>
        <v>1.1666666666666667</v>
      </c>
      <c r="D24" s="64">
        <f t="shared" si="1"/>
        <v>14</v>
      </c>
      <c r="E24" s="38">
        <f>Planilha!aporte*D24</f>
        <v>14000</v>
      </c>
      <c r="F24" s="38">
        <f>FV(taxa_mensal,D24,-Planilha!aporte)</f>
        <v>14947.421323762255</v>
      </c>
      <c r="G24" s="38">
        <f t="shared" si="2"/>
        <v>947.42132376225527</v>
      </c>
    </row>
    <row r="25" spans="2:7" x14ac:dyDescent="0.3">
      <c r="B25" s="62">
        <v>15</v>
      </c>
      <c r="C25" s="63">
        <f t="shared" si="0"/>
        <v>1.25</v>
      </c>
      <c r="D25" s="64">
        <f t="shared" si="1"/>
        <v>15</v>
      </c>
      <c r="E25" s="38">
        <f>Planilha!aporte*D25</f>
        <v>15000</v>
      </c>
      <c r="F25" s="38">
        <f>FV(taxa_mensal,D25,-Planilha!aporte)</f>
        <v>16096.895536999846</v>
      </c>
      <c r="G25" s="38">
        <f t="shared" si="2"/>
        <v>1096.8955369998457</v>
      </c>
    </row>
    <row r="26" spans="2:7" x14ac:dyDescent="0.3">
      <c r="B26" s="62">
        <v>16</v>
      </c>
      <c r="C26" s="63">
        <f t="shared" si="0"/>
        <v>1.3333333333333333</v>
      </c>
      <c r="D26" s="64">
        <f t="shared" si="1"/>
        <v>16</v>
      </c>
      <c r="E26" s="38">
        <f>Planilha!aporte*D26</f>
        <v>16000</v>
      </c>
      <c r="F26" s="38">
        <f>FV(taxa_mensal,D26,-Planilha!aporte)</f>
        <v>17257.864492369881</v>
      </c>
      <c r="G26" s="38">
        <f t="shared" si="2"/>
        <v>1257.8644923698812</v>
      </c>
    </row>
    <row r="27" spans="2:7" x14ac:dyDescent="0.3">
      <c r="B27" s="62">
        <v>17</v>
      </c>
      <c r="C27" s="63">
        <f t="shared" si="0"/>
        <v>1.4166666666666665</v>
      </c>
      <c r="D27" s="64">
        <f t="shared" si="1"/>
        <v>17</v>
      </c>
      <c r="E27" s="38">
        <f>Planilha!aporte*D27</f>
        <v>17000</v>
      </c>
      <c r="F27" s="38">
        <f>FV(taxa_mensal,D27,-Planilha!aporte)</f>
        <v>18430.443137293583</v>
      </c>
      <c r="G27" s="38">
        <f t="shared" si="2"/>
        <v>1430.4431372935833</v>
      </c>
    </row>
    <row r="28" spans="2:7" x14ac:dyDescent="0.3">
      <c r="B28" s="62">
        <v>18</v>
      </c>
      <c r="C28" s="63">
        <f t="shared" si="0"/>
        <v>1.5</v>
      </c>
      <c r="D28" s="64">
        <f t="shared" si="1"/>
        <v>18</v>
      </c>
      <c r="E28" s="38">
        <f>Planilha!aporte*D28</f>
        <v>18000</v>
      </c>
      <c r="F28" s="38">
        <f>FV(taxa_mensal,D28,-Planilha!aporte)</f>
        <v>19614.747568666524</v>
      </c>
      <c r="G28" s="38">
        <f t="shared" si="2"/>
        <v>1614.7475686665239</v>
      </c>
    </row>
    <row r="29" spans="2:7" x14ac:dyDescent="0.3">
      <c r="B29" s="62">
        <v>19</v>
      </c>
      <c r="C29" s="63">
        <f t="shared" si="0"/>
        <v>1.5833333333333333</v>
      </c>
      <c r="D29" s="64">
        <f t="shared" si="1"/>
        <v>19</v>
      </c>
      <c r="E29" s="38">
        <f>Planilha!aporte*D29</f>
        <v>19000</v>
      </c>
      <c r="F29" s="38">
        <f>FV(taxa_mensal,D29,-Planilha!aporte)</f>
        <v>20810.895044353161</v>
      </c>
      <c r="G29" s="38">
        <f t="shared" si="2"/>
        <v>1810.8950443531612</v>
      </c>
    </row>
    <row r="30" spans="2:7" x14ac:dyDescent="0.3">
      <c r="B30" s="62">
        <v>20</v>
      </c>
      <c r="C30" s="63">
        <f t="shared" si="0"/>
        <v>1.6666666666666665</v>
      </c>
      <c r="D30" s="64">
        <f t="shared" si="1"/>
        <v>20</v>
      </c>
      <c r="E30" s="38">
        <f>Planilha!aporte*D30</f>
        <v>20000</v>
      </c>
      <c r="F30" s="38">
        <f>FV(taxa_mensal,D30,-Planilha!aporte)</f>
        <v>22019.003994796705</v>
      </c>
      <c r="G30" s="38">
        <f t="shared" si="2"/>
        <v>2019.0039947967052</v>
      </c>
    </row>
    <row r="31" spans="2:7" x14ac:dyDescent="0.3">
      <c r="B31" s="62">
        <v>21</v>
      </c>
      <c r="C31" s="63">
        <f t="shared" si="0"/>
        <v>1.75</v>
      </c>
      <c r="D31" s="64">
        <f t="shared" si="1"/>
        <v>21</v>
      </c>
      <c r="E31" s="38">
        <f>Planilha!aporte*D31</f>
        <v>21000</v>
      </c>
      <c r="F31" s="38">
        <f>FV(taxa_mensal,D31,-Planilha!aporte)</f>
        <v>23239.194034744662</v>
      </c>
      <c r="G31" s="38">
        <f t="shared" si="2"/>
        <v>2239.1940347446616</v>
      </c>
    </row>
    <row r="32" spans="2:7" x14ac:dyDescent="0.3">
      <c r="B32" s="62">
        <v>22</v>
      </c>
      <c r="C32" s="63">
        <f t="shared" si="0"/>
        <v>1.8333333333333333</v>
      </c>
      <c r="D32" s="64">
        <f t="shared" si="1"/>
        <v>22</v>
      </c>
      <c r="E32" s="38">
        <f>Planilha!aporte*D32</f>
        <v>22000</v>
      </c>
      <c r="F32" s="38">
        <f>FV(taxa_mensal,D32,-Planilha!aporte)</f>
        <v>24471.585975092137</v>
      </c>
      <c r="G32" s="38">
        <f t="shared" si="2"/>
        <v>2471.5859750921372</v>
      </c>
    </row>
    <row r="33" spans="2:7" x14ac:dyDescent="0.3">
      <c r="B33" s="62">
        <v>23</v>
      </c>
      <c r="C33" s="63">
        <f t="shared" si="0"/>
        <v>1.9166666666666667</v>
      </c>
      <c r="D33" s="64">
        <f t="shared" si="1"/>
        <v>23</v>
      </c>
      <c r="E33" s="38">
        <f>Planilha!aporte*D33</f>
        <v>23000</v>
      </c>
      <c r="F33" s="38">
        <f>FV(taxa_mensal,D33,-Planilha!aporte)</f>
        <v>25716.301834843038</v>
      </c>
      <c r="G33" s="38">
        <f t="shared" si="2"/>
        <v>2716.3018348430378</v>
      </c>
    </row>
    <row r="34" spans="2:7" x14ac:dyDescent="0.3">
      <c r="B34" s="62">
        <v>24</v>
      </c>
      <c r="C34" s="63">
        <f t="shared" si="0"/>
        <v>2</v>
      </c>
      <c r="D34" s="64">
        <f t="shared" si="1"/>
        <v>24</v>
      </c>
      <c r="E34" s="38">
        <f>Planilha!aporte*D34</f>
        <v>24000</v>
      </c>
      <c r="F34" s="38">
        <f>FV(taxa_mensal,D34,-Planilha!aporte)</f>
        <v>26973.464853191497</v>
      </c>
      <c r="G34" s="38">
        <f t="shared" si="2"/>
        <v>2973.4648531914972</v>
      </c>
    </row>
    <row r="35" spans="2:7" x14ac:dyDescent="0.3">
      <c r="B35" s="62">
        <v>25</v>
      </c>
      <c r="C35" s="63">
        <f t="shared" si="0"/>
        <v>2.0833333333333335</v>
      </c>
      <c r="D35" s="64">
        <f t="shared" si="1"/>
        <v>25</v>
      </c>
      <c r="E35" s="38">
        <f>Planilha!aporte*D35</f>
        <v>25000</v>
      </c>
      <c r="F35" s="38">
        <f>FV(taxa_mensal,D35,-Planilha!aporte)</f>
        <v>28243.199501723426</v>
      </c>
      <c r="G35" s="38">
        <f t="shared" si="2"/>
        <v>3243.1995017234258</v>
      </c>
    </row>
    <row r="36" spans="2:7" x14ac:dyDescent="0.3">
      <c r="B36" s="62">
        <v>26</v>
      </c>
      <c r="C36" s="63">
        <f t="shared" si="0"/>
        <v>2.166666666666667</v>
      </c>
      <c r="D36" s="64">
        <f t="shared" si="1"/>
        <v>26.000000000000004</v>
      </c>
      <c r="E36" s="38">
        <f>Planilha!aporte*D36</f>
        <v>26000.000000000004</v>
      </c>
      <c r="F36" s="38">
        <f>FV(taxa_mensal,D36,-Planilha!aporte)</f>
        <v>29525.631496740632</v>
      </c>
      <c r="G36" s="38">
        <f t="shared" si="2"/>
        <v>3525.6314967406288</v>
      </c>
    </row>
    <row r="37" spans="2:7" x14ac:dyDescent="0.3">
      <c r="B37" s="62">
        <v>27</v>
      </c>
      <c r="C37" s="63">
        <f t="shared" si="0"/>
        <v>2.25</v>
      </c>
      <c r="D37" s="64">
        <f t="shared" si="1"/>
        <v>27</v>
      </c>
      <c r="E37" s="38">
        <f>Planilha!aporte*D37</f>
        <v>27000</v>
      </c>
      <c r="F37" s="38">
        <f>FV(taxa_mensal,D37,-Planilha!aporte)</f>
        <v>30820.88781170802</v>
      </c>
      <c r="G37" s="38">
        <f t="shared" si="2"/>
        <v>3820.8878117080203</v>
      </c>
    </row>
    <row r="38" spans="2:7" x14ac:dyDescent="0.3">
      <c r="B38" s="62">
        <v>28</v>
      </c>
      <c r="C38" s="63">
        <f t="shared" si="0"/>
        <v>2.3333333333333335</v>
      </c>
      <c r="D38" s="64">
        <f t="shared" si="1"/>
        <v>28</v>
      </c>
      <c r="E38" s="38">
        <f>Planilha!aporte*D38</f>
        <v>28000</v>
      </c>
      <c r="F38" s="38">
        <f>FV(taxa_mensal,D38,-Planilha!aporte)</f>
        <v>32129.09668982511</v>
      </c>
      <c r="G38" s="38">
        <f t="shared" si="2"/>
        <v>4129.0966898251099</v>
      </c>
    </row>
    <row r="39" spans="2:7" x14ac:dyDescent="0.3">
      <c r="B39" s="62">
        <v>29</v>
      </c>
      <c r="C39" s="63">
        <f t="shared" si="0"/>
        <v>2.4166666666666665</v>
      </c>
      <c r="D39" s="64">
        <f t="shared" si="1"/>
        <v>29</v>
      </c>
      <c r="E39" s="38">
        <f>Planilha!aporte*D39</f>
        <v>29000</v>
      </c>
      <c r="F39" s="38">
        <f>FV(taxa_mensal,D39,-Planilha!aporte)</f>
        <v>33450.387656723367</v>
      </c>
      <c r="G39" s="38">
        <f t="shared" si="2"/>
        <v>4450.3876567233674</v>
      </c>
    </row>
    <row r="40" spans="2:7" x14ac:dyDescent="0.3">
      <c r="B40" s="62">
        <v>30</v>
      </c>
      <c r="C40" s="63">
        <f t="shared" si="0"/>
        <v>2.5</v>
      </c>
      <c r="D40" s="64">
        <f t="shared" si="1"/>
        <v>30</v>
      </c>
      <c r="E40" s="38">
        <f>Planilha!aporte*D40</f>
        <v>30000</v>
      </c>
      <c r="F40" s="38">
        <f>FV(taxa_mensal,D40,-Planilha!aporte)</f>
        <v>34784.891533290625</v>
      </c>
      <c r="G40" s="38">
        <f t="shared" si="2"/>
        <v>4784.8915332906254</v>
      </c>
    </row>
    <row r="41" spans="2:7" x14ac:dyDescent="0.3">
      <c r="B41" s="62">
        <v>31</v>
      </c>
      <c r="C41" s="63">
        <f t="shared" si="0"/>
        <v>2.5833333333333335</v>
      </c>
      <c r="D41" s="64">
        <f t="shared" si="1"/>
        <v>31</v>
      </c>
      <c r="E41" s="38">
        <f>Planilha!aporte*D41</f>
        <v>31000</v>
      </c>
      <c r="F41" s="38">
        <f>FV(taxa_mensal,D41,-Planilha!aporte)</f>
        <v>36132.740448623488</v>
      </c>
      <c r="G41" s="38">
        <f t="shared" si="2"/>
        <v>5132.7404486234882</v>
      </c>
    </row>
    <row r="42" spans="2:7" x14ac:dyDescent="0.3">
      <c r="B42" s="62">
        <v>32</v>
      </c>
      <c r="C42" s="63">
        <f t="shared" ref="C42:C73" si="3">B42/120*$E$5</f>
        <v>2.6666666666666665</v>
      </c>
      <c r="D42" s="64">
        <f t="shared" ref="D42:D73" si="4">C42*12</f>
        <v>32</v>
      </c>
      <c r="E42" s="38">
        <f>Planilha!aporte*D42</f>
        <v>32000</v>
      </c>
      <c r="F42" s="38">
        <f>FV(taxa_mensal,D42,-Planilha!aporte)</f>
        <v>37494.067853109751</v>
      </c>
      <c r="G42" s="38">
        <f t="shared" ref="G42:G73" si="5">F42-E42</f>
        <v>5494.067853109751</v>
      </c>
    </row>
    <row r="43" spans="2:7" x14ac:dyDescent="0.3">
      <c r="B43" s="62">
        <v>33</v>
      </c>
      <c r="C43" s="63">
        <f t="shared" si="3"/>
        <v>2.75</v>
      </c>
      <c r="D43" s="64">
        <f t="shared" si="4"/>
        <v>33</v>
      </c>
      <c r="E43" s="38">
        <f>Planilha!aporte*D43</f>
        <v>33000</v>
      </c>
      <c r="F43" s="38">
        <f>FV(taxa_mensal,D43,-Planilha!aporte)</f>
        <v>38869.008531640859</v>
      </c>
      <c r="G43" s="38">
        <f t="shared" si="5"/>
        <v>5869.0085316408586</v>
      </c>
    </row>
    <row r="44" spans="2:7" x14ac:dyDescent="0.3">
      <c r="B44" s="62">
        <v>34</v>
      </c>
      <c r="C44" s="63">
        <f t="shared" si="3"/>
        <v>2.833333333333333</v>
      </c>
      <c r="D44" s="64">
        <f t="shared" si="4"/>
        <v>34</v>
      </c>
      <c r="E44" s="38">
        <f>Planilha!aporte*D44</f>
        <v>34000</v>
      </c>
      <c r="F44" s="38">
        <f>FV(taxa_mensal,D44,-Planilha!aporte)</f>
        <v>40257.69861695727</v>
      </c>
      <c r="G44" s="38">
        <f t="shared" si="5"/>
        <v>6257.6986169572701</v>
      </c>
    </row>
    <row r="45" spans="2:7" x14ac:dyDescent="0.3">
      <c r="B45" s="62">
        <v>35</v>
      </c>
      <c r="C45" s="63">
        <f t="shared" si="3"/>
        <v>2.916666666666667</v>
      </c>
      <c r="D45" s="64">
        <f t="shared" si="4"/>
        <v>35</v>
      </c>
      <c r="E45" s="38">
        <f>Planilha!aporte*D45</f>
        <v>35000</v>
      </c>
      <c r="F45" s="38">
        <f>FV(taxa_mensal,D45,-Planilha!aporte)</f>
        <v>41660.275603126822</v>
      </c>
      <c r="G45" s="38">
        <f t="shared" si="5"/>
        <v>6660.2756031268218</v>
      </c>
    </row>
    <row r="46" spans="2:7" x14ac:dyDescent="0.3">
      <c r="B46" s="62">
        <v>36</v>
      </c>
      <c r="C46" s="63">
        <f t="shared" si="3"/>
        <v>3</v>
      </c>
      <c r="D46" s="64">
        <f t="shared" si="4"/>
        <v>36</v>
      </c>
      <c r="E46" s="38">
        <f>Planilha!aporte*D46</f>
        <v>36000</v>
      </c>
      <c r="F46" s="38">
        <f>FV(taxa_mensal,D46,-Planilha!aporte)</f>
        <v>43076.878359158101</v>
      </c>
      <c r="G46" s="38">
        <f t="shared" si="5"/>
        <v>7076.8783591581014</v>
      </c>
    </row>
    <row r="47" spans="2:7" x14ac:dyDescent="0.3">
      <c r="B47" s="62">
        <v>37</v>
      </c>
      <c r="C47" s="63">
        <f t="shared" si="3"/>
        <v>3.0833333333333335</v>
      </c>
      <c r="D47" s="64">
        <f t="shared" si="4"/>
        <v>37</v>
      </c>
      <c r="E47" s="38">
        <f>Planilha!aporte*D47</f>
        <v>37000</v>
      </c>
      <c r="F47" s="38">
        <f>FV(taxa_mensal,D47,-Planilha!aporte)</f>
        <v>44507.64714274968</v>
      </c>
      <c r="G47" s="38">
        <f t="shared" si="5"/>
        <v>7507.6471427496799</v>
      </c>
    </row>
    <row r="48" spans="2:7" x14ac:dyDescent="0.3">
      <c r="B48" s="62">
        <v>38</v>
      </c>
      <c r="C48" s="63">
        <f t="shared" si="3"/>
        <v>3.1666666666666665</v>
      </c>
      <c r="D48" s="64">
        <f t="shared" si="4"/>
        <v>38</v>
      </c>
      <c r="E48" s="38">
        <f>Planilha!aporte*D48</f>
        <v>38000</v>
      </c>
      <c r="F48" s="38">
        <f>FV(taxa_mensal,D48,-Planilha!aporte)</f>
        <v>45952.723614177194</v>
      </c>
      <c r="G48" s="38">
        <f t="shared" si="5"/>
        <v>7952.7236141771937</v>
      </c>
    </row>
    <row r="49" spans="2:7" x14ac:dyDescent="0.3">
      <c r="B49" s="62">
        <v>39</v>
      </c>
      <c r="C49" s="63">
        <f t="shared" si="3"/>
        <v>3.25</v>
      </c>
      <c r="D49" s="64">
        <f t="shared" si="4"/>
        <v>39</v>
      </c>
      <c r="E49" s="38">
        <f>Planilha!aporte*D49</f>
        <v>39000</v>
      </c>
      <c r="F49" s="38">
        <f>FV(taxa_mensal,D49,-Planilha!aporte)</f>
        <v>47412.250850318924</v>
      </c>
      <c r="G49" s="38">
        <f t="shared" si="5"/>
        <v>8412.2508503189238</v>
      </c>
    </row>
    <row r="50" spans="2:7" x14ac:dyDescent="0.3">
      <c r="B50" s="62">
        <v>40</v>
      </c>
      <c r="C50" s="63">
        <f t="shared" si="3"/>
        <v>3.333333333333333</v>
      </c>
      <c r="D50" s="64">
        <f t="shared" si="4"/>
        <v>40</v>
      </c>
      <c r="E50" s="38">
        <f>Planilha!aporte*D50</f>
        <v>40000</v>
      </c>
      <c r="F50" s="38">
        <f>FV(taxa_mensal,D50,-Planilha!aporte)</f>
        <v>48886.373358822158</v>
      </c>
      <c r="G50" s="38">
        <f t="shared" si="5"/>
        <v>8886.3733588221585</v>
      </c>
    </row>
    <row r="51" spans="2:7" x14ac:dyDescent="0.3">
      <c r="B51" s="62">
        <v>41</v>
      </c>
      <c r="C51" s="63">
        <f t="shared" si="3"/>
        <v>3.416666666666667</v>
      </c>
      <c r="D51" s="64">
        <f t="shared" si="4"/>
        <v>41</v>
      </c>
      <c r="E51" s="38">
        <f>Planilha!aporte*D51</f>
        <v>41000</v>
      </c>
      <c r="F51" s="38">
        <f>FV(taxa_mensal,D51,-Planilha!aporte)</f>
        <v>50375.237092410389</v>
      </c>
      <c r="G51" s="38">
        <f t="shared" si="5"/>
        <v>9375.2370924103889</v>
      </c>
    </row>
    <row r="52" spans="2:7" x14ac:dyDescent="0.3">
      <c r="B52" s="62">
        <v>42</v>
      </c>
      <c r="C52" s="63">
        <f t="shared" si="3"/>
        <v>3.5</v>
      </c>
      <c r="D52" s="64">
        <f t="shared" si="4"/>
        <v>42</v>
      </c>
      <c r="E52" s="38">
        <f>Planilha!aporte*D52</f>
        <v>42000</v>
      </c>
      <c r="F52" s="38">
        <f>FV(taxa_mensal,D52,-Planilha!aporte)</f>
        <v>51878.98946333451</v>
      </c>
      <c r="G52" s="38">
        <f t="shared" si="5"/>
        <v>9878.9894633345102</v>
      </c>
    </row>
    <row r="53" spans="2:7" x14ac:dyDescent="0.3">
      <c r="B53" s="62">
        <v>43</v>
      </c>
      <c r="C53" s="63">
        <f t="shared" si="3"/>
        <v>3.5833333333333335</v>
      </c>
      <c r="D53" s="64">
        <f t="shared" si="4"/>
        <v>43</v>
      </c>
      <c r="E53" s="38">
        <f>Planilha!aporte*D53</f>
        <v>43000</v>
      </c>
      <c r="F53" s="38">
        <f>FV(taxa_mensal,D53,-Planilha!aporte)</f>
        <v>53397.779357967811</v>
      </c>
      <c r="G53" s="38">
        <f t="shared" si="5"/>
        <v>10397.779357967811</v>
      </c>
    </row>
    <row r="54" spans="2:7" x14ac:dyDescent="0.3">
      <c r="B54" s="62">
        <v>44</v>
      </c>
      <c r="C54" s="63">
        <f t="shared" si="3"/>
        <v>3.6666666666666665</v>
      </c>
      <c r="D54" s="64">
        <f t="shared" si="4"/>
        <v>44</v>
      </c>
      <c r="E54" s="38">
        <f>Planilha!aporte*D54</f>
        <v>44000</v>
      </c>
      <c r="F54" s="38">
        <f>FV(taxa_mensal,D54,-Planilha!aporte)</f>
        <v>54931.757151547499</v>
      </c>
      <c r="G54" s="38">
        <f t="shared" si="5"/>
        <v>10931.757151547499</v>
      </c>
    </row>
    <row r="55" spans="2:7" x14ac:dyDescent="0.3">
      <c r="B55" s="62">
        <v>45</v>
      </c>
      <c r="C55" s="63">
        <f t="shared" si="3"/>
        <v>3.75</v>
      </c>
      <c r="D55" s="64">
        <f t="shared" si="4"/>
        <v>45</v>
      </c>
      <c r="E55" s="38">
        <f>Planilha!aporte*D55</f>
        <v>45000</v>
      </c>
      <c r="F55" s="38">
        <f>FV(taxa_mensal,D55,-Planilha!aporte)</f>
        <v>56481.074723062979</v>
      </c>
      <c r="G55" s="38">
        <f t="shared" si="5"/>
        <v>11481.074723062979</v>
      </c>
    </row>
    <row r="56" spans="2:7" x14ac:dyDescent="0.3">
      <c r="B56" s="62">
        <v>46</v>
      </c>
      <c r="C56" s="63">
        <f t="shared" si="3"/>
        <v>3.8333333333333335</v>
      </c>
      <c r="D56" s="64">
        <f t="shared" si="4"/>
        <v>46</v>
      </c>
      <c r="E56" s="38">
        <f>Planilha!aporte*D56</f>
        <v>46000</v>
      </c>
      <c r="F56" s="38">
        <f>FV(taxa_mensal,D56,-Planilha!aporte)</f>
        <v>58045.885470293637</v>
      </c>
      <c r="G56" s="38">
        <f t="shared" si="5"/>
        <v>12045.885470293637</v>
      </c>
    </row>
    <row r="57" spans="2:7" x14ac:dyDescent="0.3">
      <c r="B57" s="62">
        <v>47</v>
      </c>
      <c r="C57" s="63">
        <f t="shared" si="3"/>
        <v>3.9166666666666665</v>
      </c>
      <c r="D57" s="64">
        <f t="shared" si="4"/>
        <v>47</v>
      </c>
      <c r="E57" s="38">
        <f>Planilha!aporte*D57</f>
        <v>47000</v>
      </c>
      <c r="F57" s="38">
        <f>FV(taxa_mensal,D57,-Planilha!aporte)</f>
        <v>59626.344324996513</v>
      </c>
      <c r="G57" s="38">
        <f t="shared" si="5"/>
        <v>12626.344324996513</v>
      </c>
    </row>
    <row r="58" spans="2:7" x14ac:dyDescent="0.3">
      <c r="B58" s="62">
        <v>48</v>
      </c>
      <c r="C58" s="63">
        <f t="shared" si="3"/>
        <v>4</v>
      </c>
      <c r="D58" s="64">
        <f t="shared" si="4"/>
        <v>48</v>
      </c>
      <c r="E58" s="38">
        <f>Planilha!aporte*D58</f>
        <v>48000</v>
      </c>
      <c r="F58" s="38">
        <f>FV(taxa_mensal,D58,-Planilha!aporte)</f>
        <v>61222.607768246526</v>
      </c>
      <c r="G58" s="38">
        <f t="shared" si="5"/>
        <v>13222.607768246526</v>
      </c>
    </row>
    <row r="59" spans="2:7" x14ac:dyDescent="0.3">
      <c r="B59" s="62">
        <v>49</v>
      </c>
      <c r="C59" s="63">
        <f t="shared" si="3"/>
        <v>4.083333333333333</v>
      </c>
      <c r="D59" s="64">
        <f t="shared" si="4"/>
        <v>49</v>
      </c>
      <c r="E59" s="38">
        <f>Planilha!aporte*D59</f>
        <v>49000</v>
      </c>
      <c r="F59" s="38">
        <f>FV(taxa_mensal,D59,-Planilha!aporte)</f>
        <v>62834.833845929003</v>
      </c>
      <c r="G59" s="38">
        <f t="shared" si="5"/>
        <v>13834.833845929003</v>
      </c>
    </row>
    <row r="60" spans="2:7" x14ac:dyDescent="0.3">
      <c r="B60" s="62">
        <v>50</v>
      </c>
      <c r="C60" s="63">
        <f t="shared" si="3"/>
        <v>4.166666666666667</v>
      </c>
      <c r="D60" s="64">
        <f t="shared" si="4"/>
        <v>50</v>
      </c>
      <c r="E60" s="38">
        <f>Planilha!aporte*D60</f>
        <v>50000</v>
      </c>
      <c r="F60" s="38">
        <f>FV(taxa_mensal,D60,-Planilha!aporte)</f>
        <v>64463.182184388315</v>
      </c>
      <c r="G60" s="38">
        <f t="shared" si="5"/>
        <v>14463.182184388315</v>
      </c>
    </row>
    <row r="61" spans="2:7" x14ac:dyDescent="0.3">
      <c r="B61" s="62">
        <v>51</v>
      </c>
      <c r="C61" s="63">
        <f t="shared" si="3"/>
        <v>4.25</v>
      </c>
      <c r="D61" s="64">
        <f t="shared" si="4"/>
        <v>51</v>
      </c>
      <c r="E61" s="38">
        <f>Planilha!aporte*D61</f>
        <v>51000</v>
      </c>
      <c r="F61" s="38">
        <f>FV(taxa_mensal,D61,-Planilha!aporte)</f>
        <v>66107.814006232162</v>
      </c>
      <c r="G61" s="38">
        <f t="shared" si="5"/>
        <v>15107.814006232162</v>
      </c>
    </row>
    <row r="62" spans="2:7" x14ac:dyDescent="0.3">
      <c r="B62" s="62">
        <v>52</v>
      </c>
      <c r="C62" s="63">
        <f t="shared" si="3"/>
        <v>4.3333333333333339</v>
      </c>
      <c r="D62" s="64">
        <f t="shared" si="4"/>
        <v>52.000000000000007</v>
      </c>
      <c r="E62" s="38">
        <f>Planilha!aporte*D62</f>
        <v>52000.000000000007</v>
      </c>
      <c r="F62" s="38">
        <f>FV(taxa_mensal,D62,-Planilha!aporte)</f>
        <v>67768.892146294456</v>
      </c>
      <c r="G62" s="38">
        <f t="shared" si="5"/>
        <v>15768.892146294449</v>
      </c>
    </row>
    <row r="63" spans="2:7" x14ac:dyDescent="0.3">
      <c r="B63" s="62">
        <v>53</v>
      </c>
      <c r="C63" s="63">
        <f t="shared" si="3"/>
        <v>4.4166666666666661</v>
      </c>
      <c r="D63" s="64">
        <f t="shared" si="4"/>
        <v>52.999999999999993</v>
      </c>
      <c r="E63" s="38">
        <f>Planilha!aporte*D63</f>
        <v>52999.999999999993</v>
      </c>
      <c r="F63" s="38">
        <f>FV(taxa_mensal,D63,-Planilha!aporte)</f>
        <v>69446.581067757405</v>
      </c>
      <c r="G63" s="38">
        <f t="shared" si="5"/>
        <v>16446.581067757412</v>
      </c>
    </row>
    <row r="64" spans="2:7" x14ac:dyDescent="0.3">
      <c r="B64" s="62">
        <v>54</v>
      </c>
      <c r="C64" s="63">
        <f t="shared" si="3"/>
        <v>4.5</v>
      </c>
      <c r="D64" s="64">
        <f t="shared" si="4"/>
        <v>54</v>
      </c>
      <c r="E64" s="38">
        <f>Planilha!aporte*D64</f>
        <v>54000</v>
      </c>
      <c r="F64" s="38">
        <f>FV(taxa_mensal,D64,-Planilha!aporte)</f>
        <v>71141.046878435038</v>
      </c>
      <c r="G64" s="38">
        <f t="shared" si="5"/>
        <v>17141.046878435038</v>
      </c>
    </row>
    <row r="65" spans="2:7" x14ac:dyDescent="0.3">
      <c r="B65" s="62">
        <v>55</v>
      </c>
      <c r="C65" s="63">
        <f t="shared" si="3"/>
        <v>4.583333333333333</v>
      </c>
      <c r="D65" s="64">
        <f t="shared" si="4"/>
        <v>55</v>
      </c>
      <c r="E65" s="38">
        <f>Planilha!aporte*D65</f>
        <v>55000</v>
      </c>
      <c r="F65" s="38">
        <f>FV(taxa_mensal,D65,-Planilha!aporte)</f>
        <v>72852.457347219344</v>
      </c>
      <c r="G65" s="38">
        <f t="shared" si="5"/>
        <v>17852.457347219344</v>
      </c>
    </row>
    <row r="66" spans="2:7" x14ac:dyDescent="0.3">
      <c r="B66" s="62">
        <v>56</v>
      </c>
      <c r="C66" s="63">
        <f t="shared" si="3"/>
        <v>4.666666666666667</v>
      </c>
      <c r="D66" s="64">
        <f t="shared" si="4"/>
        <v>56</v>
      </c>
      <c r="E66" s="38">
        <f>Planilha!aporte*D66</f>
        <v>56000</v>
      </c>
      <c r="F66" s="38">
        <f>FV(taxa_mensal,D66,-Planilha!aporte)</f>
        <v>74580.981920691585</v>
      </c>
      <c r="G66" s="38">
        <f t="shared" si="5"/>
        <v>18580.981920691585</v>
      </c>
    </row>
    <row r="67" spans="2:7" x14ac:dyDescent="0.3">
      <c r="B67" s="62">
        <v>57</v>
      </c>
      <c r="C67" s="63">
        <f t="shared" si="3"/>
        <v>4.75</v>
      </c>
      <c r="D67" s="64">
        <f t="shared" si="4"/>
        <v>57</v>
      </c>
      <c r="E67" s="38">
        <f>Planilha!aporte*D67</f>
        <v>57000</v>
      </c>
      <c r="F67" s="38">
        <f>FV(taxa_mensal,D67,-Planilha!aporte)</f>
        <v>76326.791739898516</v>
      </c>
      <c r="G67" s="38">
        <f t="shared" si="5"/>
        <v>19326.791739898516</v>
      </c>
    </row>
    <row r="68" spans="2:7" x14ac:dyDescent="0.3">
      <c r="B68" s="62">
        <v>58</v>
      </c>
      <c r="C68" s="63">
        <f t="shared" si="3"/>
        <v>4.833333333333333</v>
      </c>
      <c r="D68" s="64">
        <f t="shared" si="4"/>
        <v>58</v>
      </c>
      <c r="E68" s="38">
        <f>Planilha!aporte*D68</f>
        <v>58000</v>
      </c>
      <c r="F68" s="38">
        <f>FV(taxa_mensal,D68,-Planilha!aporte)</f>
        <v>78090.05965729749</v>
      </c>
      <c r="G68" s="38">
        <f t="shared" si="5"/>
        <v>20090.05965729749</v>
      </c>
    </row>
    <row r="69" spans="2:7" x14ac:dyDescent="0.3">
      <c r="B69" s="62">
        <v>59</v>
      </c>
      <c r="C69" s="63">
        <f t="shared" si="3"/>
        <v>4.9166666666666661</v>
      </c>
      <c r="D69" s="64">
        <f t="shared" si="4"/>
        <v>58.999999999999993</v>
      </c>
      <c r="E69" s="38">
        <f>Planilha!aporte*D69</f>
        <v>58999.999999999993</v>
      </c>
      <c r="F69" s="38">
        <f>FV(taxa_mensal,D69,-Planilha!aporte)</f>
        <v>79870.960253870406</v>
      </c>
      <c r="G69" s="38">
        <f t="shared" si="5"/>
        <v>20870.960253870413</v>
      </c>
    </row>
    <row r="70" spans="2:7" x14ac:dyDescent="0.3">
      <c r="B70" s="62">
        <v>60</v>
      </c>
      <c r="C70" s="63">
        <f t="shared" si="3"/>
        <v>5</v>
      </c>
      <c r="D70" s="64">
        <f t="shared" si="4"/>
        <v>60</v>
      </c>
      <c r="E70" s="38">
        <f>Planilha!aporte*D70</f>
        <v>60000</v>
      </c>
      <c r="F70" s="38">
        <f>FV(taxa_mensal,D70,-Planilha!aporte)</f>
        <v>81669.669856409135</v>
      </c>
      <c r="G70" s="38">
        <f t="shared" si="5"/>
        <v>21669.669856409135</v>
      </c>
    </row>
    <row r="71" spans="2:7" x14ac:dyDescent="0.3">
      <c r="B71" s="62">
        <v>61</v>
      </c>
      <c r="C71" s="63">
        <f t="shared" si="3"/>
        <v>5.083333333333333</v>
      </c>
      <c r="D71" s="64">
        <f t="shared" si="4"/>
        <v>61</v>
      </c>
      <c r="E71" s="38">
        <f>Planilha!aporte*D71</f>
        <v>61000</v>
      </c>
      <c r="F71" s="38">
        <f>FV(taxa_mensal,D71,-Planilha!aporte)</f>
        <v>83486.366554973225</v>
      </c>
      <c r="G71" s="38">
        <f t="shared" si="5"/>
        <v>22486.366554973225</v>
      </c>
    </row>
    <row r="72" spans="2:7" x14ac:dyDescent="0.3">
      <c r="B72" s="62">
        <v>62</v>
      </c>
      <c r="C72" s="63">
        <f t="shared" si="3"/>
        <v>5.166666666666667</v>
      </c>
      <c r="D72" s="64">
        <f t="shared" si="4"/>
        <v>62</v>
      </c>
      <c r="E72" s="38">
        <f>Planilha!aporte*D72</f>
        <v>62000</v>
      </c>
      <c r="F72" s="38">
        <f>FV(taxa_mensal,D72,-Planilha!aporte)</f>
        <v>85321.230220523008</v>
      </c>
      <c r="G72" s="38">
        <f t="shared" si="5"/>
        <v>23321.230220523008</v>
      </c>
    </row>
    <row r="73" spans="2:7" x14ac:dyDescent="0.3">
      <c r="B73" s="62">
        <v>63</v>
      </c>
      <c r="C73" s="63">
        <f t="shared" si="3"/>
        <v>5.25</v>
      </c>
      <c r="D73" s="64">
        <f t="shared" si="4"/>
        <v>63</v>
      </c>
      <c r="E73" s="38">
        <f>Planilha!aporte*D73</f>
        <v>63000</v>
      </c>
      <c r="F73" s="38">
        <f>FV(taxa_mensal,D73,-Planilha!aporte)</f>
        <v>87174.442522728175</v>
      </c>
      <c r="G73" s="38">
        <f t="shared" si="5"/>
        <v>24174.442522728175</v>
      </c>
    </row>
    <row r="74" spans="2:7" x14ac:dyDescent="0.3">
      <c r="B74" s="62">
        <v>64</v>
      </c>
      <c r="C74" s="63">
        <f t="shared" ref="C74:C105" si="6">B74/120*$E$5</f>
        <v>5.333333333333333</v>
      </c>
      <c r="D74" s="64">
        <f t="shared" ref="D74:D105" si="7">C74*12</f>
        <v>64</v>
      </c>
      <c r="E74" s="38">
        <f>Planilha!aporte*D74</f>
        <v>64000</v>
      </c>
      <c r="F74" s="38">
        <f>FV(taxa_mensal,D74,-Planilha!aporte)</f>
        <v>89046.186947955488</v>
      </c>
      <c r="G74" s="38">
        <f t="shared" ref="G74:G105" si="8">F74-E74</f>
        <v>25046.186947955488</v>
      </c>
    </row>
    <row r="75" spans="2:7" x14ac:dyDescent="0.3">
      <c r="B75" s="62">
        <v>65</v>
      </c>
      <c r="C75" s="63">
        <f t="shared" si="6"/>
        <v>5.4166666666666661</v>
      </c>
      <c r="D75" s="64">
        <f t="shared" si="7"/>
        <v>65</v>
      </c>
      <c r="E75" s="38">
        <f>Planilha!aporte*D75</f>
        <v>65000</v>
      </c>
      <c r="F75" s="38">
        <f>FV(taxa_mensal,D75,-Planilha!aporte)</f>
        <v>90936.648817435052</v>
      </c>
      <c r="G75" s="38">
        <f t="shared" si="8"/>
        <v>25936.648817435052</v>
      </c>
    </row>
    <row r="76" spans="2:7" x14ac:dyDescent="0.3">
      <c r="B76" s="62">
        <v>66</v>
      </c>
      <c r="C76" s="63">
        <f t="shared" si="6"/>
        <v>5.5</v>
      </c>
      <c r="D76" s="64">
        <f t="shared" si="7"/>
        <v>66</v>
      </c>
      <c r="E76" s="38">
        <f>Planilha!aporte*D76</f>
        <v>66000</v>
      </c>
      <c r="F76" s="38">
        <f>FV(taxa_mensal,D76,-Planilha!aporte)</f>
        <v>92846.015305609413</v>
      </c>
      <c r="G76" s="38">
        <f t="shared" si="8"/>
        <v>26846.015305609413</v>
      </c>
    </row>
    <row r="77" spans="2:7" x14ac:dyDescent="0.3">
      <c r="B77" s="62">
        <v>67</v>
      </c>
      <c r="C77" s="63">
        <f t="shared" si="6"/>
        <v>5.5833333333333339</v>
      </c>
      <c r="D77" s="64">
        <f t="shared" si="7"/>
        <v>67</v>
      </c>
      <c r="E77" s="38">
        <f>Planilha!aporte*D77</f>
        <v>67000</v>
      </c>
      <c r="F77" s="38">
        <f>FV(taxa_mensal,D77,-Planilha!aporte)</f>
        <v>94774.475458665474</v>
      </c>
      <c r="G77" s="38">
        <f t="shared" si="8"/>
        <v>27774.475458665474</v>
      </c>
    </row>
    <row r="78" spans="2:7" x14ac:dyDescent="0.3">
      <c r="B78" s="62">
        <v>68</v>
      </c>
      <c r="C78" s="63">
        <f t="shared" si="6"/>
        <v>5.6666666666666661</v>
      </c>
      <c r="D78" s="64">
        <f t="shared" si="7"/>
        <v>68</v>
      </c>
      <c r="E78" s="38">
        <f>Planilha!aporte*D78</f>
        <v>68000</v>
      </c>
      <c r="F78" s="38">
        <f>FV(taxa_mensal,D78,-Planilha!aporte)</f>
        <v>96722.220213252163</v>
      </c>
      <c r="G78" s="38">
        <f t="shared" si="8"/>
        <v>28722.220213252163</v>
      </c>
    </row>
    <row r="79" spans="2:7" x14ac:dyDescent="0.3">
      <c r="B79" s="62">
        <v>69</v>
      </c>
      <c r="C79" s="63">
        <f t="shared" si="6"/>
        <v>5.75</v>
      </c>
      <c r="D79" s="64">
        <f t="shared" si="7"/>
        <v>69</v>
      </c>
      <c r="E79" s="38">
        <f>Planilha!aporte*D79</f>
        <v>69000</v>
      </c>
      <c r="F79" s="38">
        <f>FV(taxa_mensal,D79,-Planilha!aporte)</f>
        <v>98689.442415384663</v>
      </c>
      <c r="G79" s="38">
        <f t="shared" si="8"/>
        <v>29689.442415384663</v>
      </c>
    </row>
    <row r="80" spans="2:7" x14ac:dyDescent="0.3">
      <c r="B80" s="62">
        <v>70</v>
      </c>
      <c r="C80" s="63">
        <f t="shared" si="6"/>
        <v>5.8333333333333339</v>
      </c>
      <c r="D80" s="64">
        <f t="shared" si="7"/>
        <v>70</v>
      </c>
      <c r="E80" s="38">
        <f>Planilha!aporte*D80</f>
        <v>70000</v>
      </c>
      <c r="F80" s="38">
        <f>FV(taxa_mensal,D80,-Planilha!aporte)</f>
        <v>100676.33683953856</v>
      </c>
      <c r="G80" s="38">
        <f t="shared" si="8"/>
        <v>30676.336839538562</v>
      </c>
    </row>
    <row r="81" spans="2:7" x14ac:dyDescent="0.3">
      <c r="B81" s="62">
        <v>71</v>
      </c>
      <c r="C81" s="63">
        <f t="shared" si="6"/>
        <v>5.916666666666667</v>
      </c>
      <c r="D81" s="64">
        <f t="shared" si="7"/>
        <v>71</v>
      </c>
      <c r="E81" s="38">
        <f>Planilha!aporte*D81</f>
        <v>71000</v>
      </c>
      <c r="F81" s="38">
        <f>FV(taxa_mensal,D81,-Planilha!aporte)</f>
        <v>102683.10020793385</v>
      </c>
      <c r="G81" s="38">
        <f t="shared" si="8"/>
        <v>31683.10020793385</v>
      </c>
    </row>
    <row r="82" spans="2:7" x14ac:dyDescent="0.3">
      <c r="B82" s="62">
        <v>72</v>
      </c>
      <c r="C82" s="63">
        <f t="shared" si="6"/>
        <v>6</v>
      </c>
      <c r="D82" s="64">
        <f t="shared" si="7"/>
        <v>72</v>
      </c>
      <c r="E82" s="38">
        <f>Planilha!aporte*D82</f>
        <v>72000</v>
      </c>
      <c r="F82" s="38">
        <f>FV(taxa_mensal,D82,-Planilha!aporte)</f>
        <v>104709.93121001327</v>
      </c>
      <c r="G82" s="38">
        <f t="shared" si="8"/>
        <v>32709.931210013267</v>
      </c>
    </row>
    <row r="83" spans="2:7" x14ac:dyDescent="0.3">
      <c r="B83" s="62">
        <v>73</v>
      </c>
      <c r="C83" s="63">
        <f t="shared" si="6"/>
        <v>6.083333333333333</v>
      </c>
      <c r="D83" s="64">
        <f t="shared" si="7"/>
        <v>73</v>
      </c>
      <c r="E83" s="38">
        <f>Planilha!aporte*D83</f>
        <v>73000</v>
      </c>
      <c r="F83" s="38">
        <f>FV(taxa_mensal,D83,-Planilha!aporte)</f>
        <v>106757.03052211339</v>
      </c>
      <c r="G83" s="38">
        <f t="shared" si="8"/>
        <v>33757.030522113389</v>
      </c>
    </row>
    <row r="84" spans="2:7" x14ac:dyDescent="0.3">
      <c r="B84" s="62">
        <v>74</v>
      </c>
      <c r="C84" s="63">
        <f t="shared" si="6"/>
        <v>6.166666666666667</v>
      </c>
      <c r="D84" s="64">
        <f t="shared" si="7"/>
        <v>74</v>
      </c>
      <c r="E84" s="38">
        <f>Planilha!aporte*D84</f>
        <v>74000</v>
      </c>
      <c r="F84" s="38">
        <f>FV(taxa_mensal,D84,-Planilha!aporte)</f>
        <v>108824.60082733454</v>
      </c>
      <c r="G84" s="38">
        <f t="shared" si="8"/>
        <v>34824.600827334536</v>
      </c>
    </row>
    <row r="85" spans="2:7" x14ac:dyDescent="0.3">
      <c r="B85" s="62">
        <v>75</v>
      </c>
      <c r="C85" s="63">
        <f t="shared" si="6"/>
        <v>6.25</v>
      </c>
      <c r="D85" s="64">
        <f t="shared" si="7"/>
        <v>75</v>
      </c>
      <c r="E85" s="38">
        <f>Planilha!aporte*D85</f>
        <v>75000</v>
      </c>
      <c r="F85" s="38">
        <f>FV(taxa_mensal,D85,-Planilha!aporte)</f>
        <v>110912.84683560785</v>
      </c>
      <c r="G85" s="38">
        <f t="shared" si="8"/>
        <v>35912.846835607852</v>
      </c>
    </row>
    <row r="86" spans="2:7" x14ac:dyDescent="0.3">
      <c r="B86" s="62">
        <v>76</v>
      </c>
      <c r="C86" s="63">
        <f t="shared" si="6"/>
        <v>6.333333333333333</v>
      </c>
      <c r="D86" s="64">
        <f t="shared" si="7"/>
        <v>76</v>
      </c>
      <c r="E86" s="38">
        <f>Planilha!aporte*D86</f>
        <v>76000</v>
      </c>
      <c r="F86" s="38">
        <f>FV(taxa_mensal,D86,-Planilha!aporte)</f>
        <v>113021.97530396395</v>
      </c>
      <c r="G86" s="38">
        <f t="shared" si="8"/>
        <v>37021.975303963947</v>
      </c>
    </row>
    <row r="87" spans="2:7" x14ac:dyDescent="0.3">
      <c r="B87" s="62">
        <v>77</v>
      </c>
      <c r="C87" s="63">
        <f t="shared" si="6"/>
        <v>6.416666666666667</v>
      </c>
      <c r="D87" s="64">
        <f t="shared" si="7"/>
        <v>77</v>
      </c>
      <c r="E87" s="38">
        <f>Planilha!aporte*D87</f>
        <v>77000</v>
      </c>
      <c r="F87" s="38">
        <f>FV(taxa_mensal,D87,-Planilha!aporte)</f>
        <v>115152.19505700358</v>
      </c>
      <c r="G87" s="38">
        <f t="shared" si="8"/>
        <v>38152.195057003584</v>
      </c>
    </row>
    <row r="88" spans="2:7" x14ac:dyDescent="0.3">
      <c r="B88" s="62">
        <v>78</v>
      </c>
      <c r="C88" s="63">
        <f t="shared" si="6"/>
        <v>6.5</v>
      </c>
      <c r="D88" s="64">
        <f t="shared" si="7"/>
        <v>78</v>
      </c>
      <c r="E88" s="38">
        <f>Planilha!aporte*D88</f>
        <v>78000</v>
      </c>
      <c r="F88" s="38">
        <f>FV(taxa_mensal,D88,-Planilha!aporte)</f>
        <v>117303.71700757365</v>
      </c>
      <c r="G88" s="38">
        <f t="shared" si="8"/>
        <v>39303.71700757365</v>
      </c>
    </row>
    <row r="89" spans="2:7" x14ac:dyDescent="0.3">
      <c r="B89" s="62">
        <v>79</v>
      </c>
      <c r="C89" s="63">
        <f t="shared" si="6"/>
        <v>6.583333333333333</v>
      </c>
      <c r="D89" s="64">
        <f t="shared" si="7"/>
        <v>79</v>
      </c>
      <c r="E89" s="38">
        <f>Planilha!aporte*D89</f>
        <v>79000</v>
      </c>
      <c r="F89" s="38">
        <f>FV(taxa_mensal,D89,-Planilha!aporte)</f>
        <v>119476.75417764932</v>
      </c>
      <c r="G89" s="38">
        <f t="shared" si="8"/>
        <v>40476.754177649316</v>
      </c>
    </row>
    <row r="90" spans="2:7" x14ac:dyDescent="0.3">
      <c r="B90" s="62">
        <v>80</v>
      </c>
      <c r="C90" s="63">
        <f t="shared" si="6"/>
        <v>6.6666666666666661</v>
      </c>
      <c r="D90" s="64">
        <f t="shared" si="7"/>
        <v>80</v>
      </c>
      <c r="E90" s="38">
        <f>Planilha!aporte*D90</f>
        <v>80000</v>
      </c>
      <c r="F90" s="38">
        <f>FV(taxa_mensal,D90,-Planilha!aporte)</f>
        <v>121671.52171942589</v>
      </c>
      <c r="G90" s="38">
        <f t="shared" si="8"/>
        <v>41671.521719425888</v>
      </c>
    </row>
    <row r="91" spans="2:7" x14ac:dyDescent="0.3">
      <c r="B91" s="62">
        <v>81</v>
      </c>
      <c r="C91" s="63">
        <f t="shared" si="6"/>
        <v>6.75</v>
      </c>
      <c r="D91" s="64">
        <f t="shared" si="7"/>
        <v>81</v>
      </c>
      <c r="E91" s="38">
        <f>Planilha!aporte*D91</f>
        <v>81000</v>
      </c>
      <c r="F91" s="38">
        <f>FV(taxa_mensal,D91,-Planilha!aporte)</f>
        <v>123888.23693662015</v>
      </c>
      <c r="G91" s="38">
        <f t="shared" si="8"/>
        <v>42888.236936620146</v>
      </c>
    </row>
    <row r="92" spans="2:7" x14ac:dyDescent="0.3">
      <c r="B92" s="62">
        <v>82</v>
      </c>
      <c r="C92" s="63">
        <f t="shared" si="6"/>
        <v>6.8333333333333339</v>
      </c>
      <c r="D92" s="64">
        <f t="shared" si="7"/>
        <v>82</v>
      </c>
      <c r="E92" s="38">
        <f>Planilha!aporte*D92</f>
        <v>82000</v>
      </c>
      <c r="F92" s="38">
        <f>FV(taxa_mensal,D92,-Planilha!aporte)</f>
        <v>126127.11930598639</v>
      </c>
      <c r="G92" s="38">
        <f t="shared" si="8"/>
        <v>44127.119305986387</v>
      </c>
    </row>
    <row r="93" spans="2:7" x14ac:dyDescent="0.3">
      <c r="B93" s="62">
        <v>83</v>
      </c>
      <c r="C93" s="63">
        <f t="shared" si="6"/>
        <v>6.9166666666666661</v>
      </c>
      <c r="D93" s="64">
        <f t="shared" si="7"/>
        <v>83</v>
      </c>
      <c r="E93" s="38">
        <f>Planilha!aporte*D93</f>
        <v>83000</v>
      </c>
      <c r="F93" s="38">
        <f>FV(taxa_mensal,D93,-Planilha!aporte)</f>
        <v>128388.3904990462</v>
      </c>
      <c r="G93" s="38">
        <f t="shared" si="8"/>
        <v>45388.390499046203</v>
      </c>
    </row>
    <row r="94" spans="2:7" x14ac:dyDescent="0.3">
      <c r="B94" s="62">
        <v>84</v>
      </c>
      <c r="C94" s="63">
        <f t="shared" si="6"/>
        <v>7</v>
      </c>
      <c r="D94" s="64">
        <f t="shared" si="7"/>
        <v>84</v>
      </c>
      <c r="E94" s="38">
        <f>Planilha!aporte*D94</f>
        <v>84000</v>
      </c>
      <c r="F94" s="38">
        <f>FV(taxa_mensal,D94,-Planilha!aporte)</f>
        <v>130672.27440403667</v>
      </c>
      <c r="G94" s="38">
        <f t="shared" si="8"/>
        <v>46672.274404036667</v>
      </c>
    </row>
    <row r="95" spans="2:7" x14ac:dyDescent="0.3">
      <c r="B95" s="62">
        <v>85</v>
      </c>
      <c r="C95" s="63">
        <f t="shared" si="6"/>
        <v>7.0833333333333339</v>
      </c>
      <c r="D95" s="64">
        <f t="shared" si="7"/>
        <v>85</v>
      </c>
      <c r="E95" s="38">
        <f>Planilha!aporte*D95</f>
        <v>85000</v>
      </c>
      <c r="F95" s="38">
        <f>FV(taxa_mensal,D95,-Planilha!aporte)</f>
        <v>132978.99714807697</v>
      </c>
      <c r="G95" s="38">
        <f t="shared" si="8"/>
        <v>47978.997148076975</v>
      </c>
    </row>
    <row r="96" spans="2:7" x14ac:dyDescent="0.3">
      <c r="B96" s="62">
        <v>86</v>
      </c>
      <c r="C96" s="63">
        <f t="shared" si="6"/>
        <v>7.166666666666667</v>
      </c>
      <c r="D96" s="64">
        <f t="shared" si="7"/>
        <v>86</v>
      </c>
      <c r="E96" s="38">
        <f>Planilha!aporte*D96</f>
        <v>86000</v>
      </c>
      <c r="F96" s="38">
        <f>FV(taxa_mensal,D96,-Planilha!aporte)</f>
        <v>135308.78711955782</v>
      </c>
      <c r="G96" s="38">
        <f t="shared" si="8"/>
        <v>49308.787119557819</v>
      </c>
    </row>
    <row r="97" spans="2:7" x14ac:dyDescent="0.3">
      <c r="B97" s="62">
        <v>87</v>
      </c>
      <c r="C97" s="63">
        <f t="shared" si="6"/>
        <v>7.25</v>
      </c>
      <c r="D97" s="64">
        <f t="shared" si="7"/>
        <v>87</v>
      </c>
      <c r="E97" s="38">
        <f>Planilha!aporte*D97</f>
        <v>87000</v>
      </c>
      <c r="F97" s="38">
        <f>FV(taxa_mensal,D97,-Planilha!aporte)</f>
        <v>137661.87499075333</v>
      </c>
      <c r="G97" s="38">
        <f t="shared" si="8"/>
        <v>50661.874990753335</v>
      </c>
    </row>
    <row r="98" spans="2:7" x14ac:dyDescent="0.3">
      <c r="B98" s="62">
        <v>88</v>
      </c>
      <c r="C98" s="63">
        <f t="shared" si="6"/>
        <v>7.333333333333333</v>
      </c>
      <c r="D98" s="64">
        <f t="shared" si="7"/>
        <v>88</v>
      </c>
      <c r="E98" s="38">
        <f>Planilha!aporte*D98</f>
        <v>88000</v>
      </c>
      <c r="F98" s="38">
        <f>FV(taxa_mensal,D98,-Planilha!aporte)</f>
        <v>140038.49374066095</v>
      </c>
      <c r="G98" s="38">
        <f t="shared" si="8"/>
        <v>52038.493740660953</v>
      </c>
    </row>
    <row r="99" spans="2:7" x14ac:dyDescent="0.3">
      <c r="B99" s="62">
        <v>89</v>
      </c>
      <c r="C99" s="63">
        <f t="shared" si="6"/>
        <v>7.416666666666667</v>
      </c>
      <c r="D99" s="64">
        <f t="shared" si="7"/>
        <v>89</v>
      </c>
      <c r="E99" s="38">
        <f>Planilha!aporte*D99</f>
        <v>89000</v>
      </c>
      <c r="F99" s="38">
        <f>FV(taxa_mensal,D99,-Planilha!aporte)</f>
        <v>142438.87867806762</v>
      </c>
      <c r="G99" s="38">
        <f t="shared" si="8"/>
        <v>53438.878678067616</v>
      </c>
    </row>
    <row r="100" spans="2:7" x14ac:dyDescent="0.3">
      <c r="B100" s="62">
        <v>90</v>
      </c>
      <c r="C100" s="63">
        <f t="shared" si="6"/>
        <v>7.5</v>
      </c>
      <c r="D100" s="64">
        <f t="shared" si="7"/>
        <v>90</v>
      </c>
      <c r="E100" s="38">
        <f>Planilha!aporte*D100</f>
        <v>90000</v>
      </c>
      <c r="F100" s="38">
        <f>FV(taxa_mensal,D100,-Planilha!aporte)</f>
        <v>144863.26746484826</v>
      </c>
      <c r="G100" s="38">
        <f t="shared" si="8"/>
        <v>54863.267464848264</v>
      </c>
    </row>
    <row r="101" spans="2:7" x14ac:dyDescent="0.3">
      <c r="B101" s="62">
        <v>91</v>
      </c>
      <c r="C101" s="63">
        <f t="shared" si="6"/>
        <v>7.583333333333333</v>
      </c>
      <c r="D101" s="64">
        <f t="shared" si="7"/>
        <v>91</v>
      </c>
      <c r="E101" s="38">
        <f>Planilha!aporte*D101</f>
        <v>91000</v>
      </c>
      <c r="F101" s="38">
        <f>FV(taxa_mensal,D101,-Planilha!aporte)</f>
        <v>147311.90013949669</v>
      </c>
      <c r="G101" s="38">
        <f t="shared" si="8"/>
        <v>56311.900139496691</v>
      </c>
    </row>
    <row r="102" spans="2:7" x14ac:dyDescent="0.3">
      <c r="B102" s="62">
        <v>92</v>
      </c>
      <c r="C102" s="63">
        <f t="shared" si="6"/>
        <v>7.666666666666667</v>
      </c>
      <c r="D102" s="64">
        <f t="shared" si="7"/>
        <v>92</v>
      </c>
      <c r="E102" s="38">
        <f>Planilha!aporte*D102</f>
        <v>92000</v>
      </c>
      <c r="F102" s="38">
        <f>FV(taxa_mensal,D102,-Planilha!aporte)</f>
        <v>149785.01914089164</v>
      </c>
      <c r="G102" s="38">
        <f t="shared" si="8"/>
        <v>57785.019140891643</v>
      </c>
    </row>
    <row r="103" spans="2:7" x14ac:dyDescent="0.3">
      <c r="B103" s="62">
        <v>93</v>
      </c>
      <c r="C103" s="63">
        <f t="shared" si="6"/>
        <v>7.75</v>
      </c>
      <c r="D103" s="64">
        <f t="shared" si="7"/>
        <v>93</v>
      </c>
      <c r="E103" s="38">
        <f>Planilha!aporte*D103</f>
        <v>93000</v>
      </c>
      <c r="F103" s="38">
        <f>FV(taxa_mensal,D103,-Planilha!aporte)</f>
        <v>152282.86933230059</v>
      </c>
      <c r="G103" s="38">
        <f t="shared" si="8"/>
        <v>59282.869332300586</v>
      </c>
    </row>
    <row r="104" spans="2:7" x14ac:dyDescent="0.3">
      <c r="B104" s="62">
        <v>94</v>
      </c>
      <c r="C104" s="63">
        <f t="shared" si="6"/>
        <v>7.833333333333333</v>
      </c>
      <c r="D104" s="64">
        <f t="shared" si="7"/>
        <v>94</v>
      </c>
      <c r="E104" s="38">
        <f>Planilha!aporte*D104</f>
        <v>94000</v>
      </c>
      <c r="F104" s="38">
        <f>FV(taxa_mensal,D104,-Planilha!aporte)</f>
        <v>154805.69802562366</v>
      </c>
      <c r="G104" s="38">
        <f t="shared" si="8"/>
        <v>60805.698025623657</v>
      </c>
    </row>
    <row r="105" spans="2:7" x14ac:dyDescent="0.3">
      <c r="B105" s="62">
        <v>95</v>
      </c>
      <c r="C105" s="63">
        <f t="shared" si="6"/>
        <v>7.9166666666666661</v>
      </c>
      <c r="D105" s="64">
        <f t="shared" si="7"/>
        <v>95</v>
      </c>
      <c r="E105" s="38">
        <f>Planilha!aporte*D105</f>
        <v>95000</v>
      </c>
      <c r="F105" s="38">
        <f>FV(taxa_mensal,D105,-Planilha!aporte)</f>
        <v>157353.75500587979</v>
      </c>
      <c r="G105" s="38">
        <f t="shared" si="8"/>
        <v>62353.755005879793</v>
      </c>
    </row>
    <row r="106" spans="2:7" x14ac:dyDescent="0.3">
      <c r="B106" s="62">
        <v>96</v>
      </c>
      <c r="C106" s="63">
        <f t="shared" ref="C106:C130" si="9">B106/120*$E$5</f>
        <v>8</v>
      </c>
      <c r="D106" s="64">
        <f t="shared" ref="D106:D130" si="10">C106*12</f>
        <v>96</v>
      </c>
      <c r="E106" s="38">
        <f>Planilha!aporte*D106</f>
        <v>96000</v>
      </c>
      <c r="F106" s="38">
        <f>FV(taxa_mensal,D106,-Planilha!aporte)</f>
        <v>159927.29255593865</v>
      </c>
      <c r="G106" s="38">
        <f t="shared" ref="G106:G130" si="11">F106-E106</f>
        <v>63927.292555938649</v>
      </c>
    </row>
    <row r="107" spans="2:7" x14ac:dyDescent="0.3">
      <c r="B107" s="62">
        <v>97</v>
      </c>
      <c r="C107" s="63">
        <f t="shared" si="9"/>
        <v>8.0833333333333339</v>
      </c>
      <c r="D107" s="64">
        <f t="shared" si="10"/>
        <v>97</v>
      </c>
      <c r="E107" s="38">
        <f>Planilha!aporte*D107</f>
        <v>97000</v>
      </c>
      <c r="F107" s="38">
        <f>FV(taxa_mensal,D107,-Planilha!aporte)</f>
        <v>162526.56548149808</v>
      </c>
      <c r="G107" s="38">
        <f t="shared" si="11"/>
        <v>65526.565481498081</v>
      </c>
    </row>
    <row r="108" spans="2:7" x14ac:dyDescent="0.3">
      <c r="B108" s="62">
        <v>98</v>
      </c>
      <c r="C108" s="63">
        <f t="shared" si="9"/>
        <v>8.1666666666666661</v>
      </c>
      <c r="D108" s="64">
        <f t="shared" si="10"/>
        <v>98</v>
      </c>
      <c r="E108" s="38">
        <f>Planilha!aporte*D108</f>
        <v>98000</v>
      </c>
      <c r="F108" s="38">
        <f>FV(taxa_mensal,D108,-Planilha!aporte)</f>
        <v>165151.83113631301</v>
      </c>
      <c r="G108" s="38">
        <f t="shared" si="11"/>
        <v>67151.831136313005</v>
      </c>
    </row>
    <row r="109" spans="2:7" x14ac:dyDescent="0.3">
      <c r="B109" s="62">
        <v>99</v>
      </c>
      <c r="C109" s="63">
        <f t="shared" si="9"/>
        <v>8.25</v>
      </c>
      <c r="D109" s="64">
        <f t="shared" si="10"/>
        <v>99</v>
      </c>
      <c r="E109" s="38">
        <f>Planilha!aporte*D109</f>
        <v>99000</v>
      </c>
      <c r="F109" s="38">
        <f>FV(taxa_mensal,D109,-Planilha!aporte)</f>
        <v>167803.3494476761</v>
      </c>
      <c r="G109" s="38">
        <f t="shared" si="11"/>
        <v>68803.349447676097</v>
      </c>
    </row>
    <row r="110" spans="2:7" x14ac:dyDescent="0.3">
      <c r="B110" s="62">
        <v>100</v>
      </c>
      <c r="C110" s="63">
        <f>B110/120*$E$5</f>
        <v>8.3333333333333339</v>
      </c>
      <c r="D110" s="64">
        <f t="shared" si="10"/>
        <v>100</v>
      </c>
      <c r="E110" s="38">
        <f>Planilha!aporte*D110</f>
        <v>100000</v>
      </c>
      <c r="F110" s="38">
        <f>FV(taxa_mensal,D110,-Planilha!aporte)</f>
        <v>170481.38294215288</v>
      </c>
      <c r="G110" s="38">
        <f t="shared" si="11"/>
        <v>70481.382942152879</v>
      </c>
    </row>
    <row r="111" spans="2:7" x14ac:dyDescent="0.3">
      <c r="B111" s="62">
        <v>101</v>
      </c>
      <c r="C111" s="63">
        <f t="shared" si="9"/>
        <v>8.4166666666666661</v>
      </c>
      <c r="D111" s="64">
        <f t="shared" si="10"/>
        <v>101</v>
      </c>
      <c r="E111" s="38">
        <f>Planilha!aporte*D111</f>
        <v>101000</v>
      </c>
      <c r="F111" s="38">
        <f>FV(taxa_mensal,D111,-Planilha!aporte)</f>
        <v>173186.19677157444</v>
      </c>
      <c r="G111" s="38">
        <f t="shared" si="11"/>
        <v>72186.196771574439</v>
      </c>
    </row>
    <row r="112" spans="2:7" x14ac:dyDescent="0.3">
      <c r="B112" s="62">
        <v>102</v>
      </c>
      <c r="C112" s="63">
        <f t="shared" si="9"/>
        <v>8.5</v>
      </c>
      <c r="D112" s="64">
        <f t="shared" si="10"/>
        <v>102</v>
      </c>
      <c r="E112" s="38">
        <f>Planilha!aporte*D112</f>
        <v>102000</v>
      </c>
      <c r="F112" s="38">
        <f>FV(taxa_mensal,D112,-Planilha!aporte)</f>
        <v>175918.05873929019</v>
      </c>
      <c r="G112" s="38">
        <f t="shared" si="11"/>
        <v>73918.058739290194</v>
      </c>
    </row>
    <row r="113" spans="2:7" x14ac:dyDescent="0.3">
      <c r="B113" s="62">
        <v>103</v>
      </c>
      <c r="C113" s="63">
        <f t="shared" si="9"/>
        <v>8.5833333333333321</v>
      </c>
      <c r="D113" s="64">
        <f t="shared" si="10"/>
        <v>102.99999999999999</v>
      </c>
      <c r="E113" s="38">
        <f>Planilha!aporte*D113</f>
        <v>102999.99999999999</v>
      </c>
      <c r="F113" s="38">
        <f>FV(taxa_mensal,D113,-Planilha!aporte)</f>
        <v>178677.23932668299</v>
      </c>
      <c r="G113" s="38">
        <f t="shared" si="11"/>
        <v>75677.239326683004</v>
      </c>
    </row>
    <row r="114" spans="2:7" x14ac:dyDescent="0.3">
      <c r="B114" s="62">
        <v>104</v>
      </c>
      <c r="C114" s="63">
        <f t="shared" si="9"/>
        <v>8.6666666666666679</v>
      </c>
      <c r="D114" s="64">
        <f t="shared" si="10"/>
        <v>104.00000000000001</v>
      </c>
      <c r="E114" s="38">
        <f>Planilha!aporte*D114</f>
        <v>104000.00000000001</v>
      </c>
      <c r="F114" s="38">
        <f>FV(taxa_mensal,D114,-Planilha!aporte)</f>
        <v>181464.01171994986</v>
      </c>
      <c r="G114" s="38">
        <f t="shared" si="11"/>
        <v>77464.011719949849</v>
      </c>
    </row>
    <row r="115" spans="2:7" x14ac:dyDescent="0.3">
      <c r="B115" s="62">
        <v>105</v>
      </c>
      <c r="C115" s="63">
        <f t="shared" si="9"/>
        <v>8.75</v>
      </c>
      <c r="D115" s="64">
        <f t="shared" si="10"/>
        <v>105</v>
      </c>
      <c r="E115" s="38">
        <f>Planilha!aporte*D115</f>
        <v>105000</v>
      </c>
      <c r="F115" s="38">
        <f>FV(taxa_mensal,D115,-Planilha!aporte)</f>
        <v>184278.65183714943</v>
      </c>
      <c r="G115" s="38">
        <f t="shared" si="11"/>
        <v>79278.651837149431</v>
      </c>
    </row>
    <row r="116" spans="2:7" x14ac:dyDescent="0.3">
      <c r="B116" s="62">
        <v>106</v>
      </c>
      <c r="C116" s="63">
        <f t="shared" si="9"/>
        <v>8.8333333333333321</v>
      </c>
      <c r="D116" s="64">
        <f t="shared" si="10"/>
        <v>105.99999999999999</v>
      </c>
      <c r="E116" s="38">
        <f>Planilha!aporte*D116</f>
        <v>105999.99999999999</v>
      </c>
      <c r="F116" s="38">
        <f>FV(taxa_mensal,D116,-Planilha!aporte)</f>
        <v>187121.4383555208</v>
      </c>
      <c r="G116" s="38">
        <f t="shared" si="11"/>
        <v>81121.438355520819</v>
      </c>
    </row>
    <row r="117" spans="2:7" x14ac:dyDescent="0.3">
      <c r="B117" s="62">
        <v>107</v>
      </c>
      <c r="C117" s="63">
        <f t="shared" si="9"/>
        <v>8.9166666666666679</v>
      </c>
      <c r="D117" s="64">
        <f t="shared" si="10"/>
        <v>107.00000000000001</v>
      </c>
      <c r="E117" s="38">
        <f>Planilha!aporte*D117</f>
        <v>107000.00000000001</v>
      </c>
      <c r="F117" s="38">
        <f>FV(taxa_mensal,D117,-Planilha!aporte)</f>
        <v>189992.65273907612</v>
      </c>
      <c r="G117" s="38">
        <f t="shared" si="11"/>
        <v>82992.652739076104</v>
      </c>
    </row>
    <row r="118" spans="2:7" x14ac:dyDescent="0.3">
      <c r="B118" s="62">
        <v>108</v>
      </c>
      <c r="C118" s="63">
        <f t="shared" si="9"/>
        <v>9</v>
      </c>
      <c r="D118" s="64">
        <f t="shared" si="10"/>
        <v>108</v>
      </c>
      <c r="E118" s="38">
        <f>Planilha!aporte*D118</f>
        <v>108000</v>
      </c>
      <c r="F118" s="38">
        <f>FV(taxa_mensal,D118,-Planilha!aporte)</f>
        <v>192892.5792664669</v>
      </c>
      <c r="G118" s="38">
        <f t="shared" si="11"/>
        <v>84892.579266466899</v>
      </c>
    </row>
    <row r="119" spans="2:7" x14ac:dyDescent="0.3">
      <c r="B119" s="62">
        <v>109</v>
      </c>
      <c r="C119" s="63">
        <f t="shared" si="9"/>
        <v>9.0833333333333339</v>
      </c>
      <c r="D119" s="64">
        <f t="shared" si="10"/>
        <v>109</v>
      </c>
      <c r="E119" s="38">
        <f>Planilha!aporte*D119</f>
        <v>109000</v>
      </c>
      <c r="F119" s="38">
        <f>FV(taxa_mensal,D119,-Planilha!aporte)</f>
        <v>195821.5050591316</v>
      </c>
      <c r="G119" s="38">
        <f t="shared" si="11"/>
        <v>86821.505059131596</v>
      </c>
    </row>
    <row r="120" spans="2:7" x14ac:dyDescent="0.3">
      <c r="B120" s="62">
        <v>110</v>
      </c>
      <c r="C120" s="63">
        <f t="shared" si="9"/>
        <v>9.1666666666666661</v>
      </c>
      <c r="D120" s="64">
        <f t="shared" si="10"/>
        <v>110</v>
      </c>
      <c r="E120" s="38">
        <f>Planilha!aporte*D120</f>
        <v>110000</v>
      </c>
      <c r="F120" s="38">
        <f>FV(taxa_mensal,D120,-Planilha!aporte)</f>
        <v>198779.72010972296</v>
      </c>
      <c r="G120" s="38">
        <f t="shared" si="11"/>
        <v>88779.720109722955</v>
      </c>
    </row>
    <row r="121" spans="2:7" x14ac:dyDescent="0.3">
      <c r="B121" s="62">
        <v>111</v>
      </c>
      <c r="C121" s="63">
        <f t="shared" si="9"/>
        <v>9.25</v>
      </c>
      <c r="D121" s="64">
        <f t="shared" si="10"/>
        <v>111</v>
      </c>
      <c r="E121" s="38">
        <f>Planilha!aporte*D121</f>
        <v>111000</v>
      </c>
      <c r="F121" s="38">
        <f>FV(taxa_mensal,D121,-Planilha!aporte)</f>
        <v>201767.51731082005</v>
      </c>
      <c r="G121" s="38">
        <f t="shared" si="11"/>
        <v>90767.517310820054</v>
      </c>
    </row>
    <row r="122" spans="2:7" x14ac:dyDescent="0.3">
      <c r="B122" s="62">
        <v>112</v>
      </c>
      <c r="C122" s="63">
        <f t="shared" si="9"/>
        <v>9.3333333333333339</v>
      </c>
      <c r="D122" s="64">
        <f t="shared" si="10"/>
        <v>112</v>
      </c>
      <c r="E122" s="38">
        <f>Planilha!aporte*D122</f>
        <v>112000</v>
      </c>
      <c r="F122" s="38">
        <f>FV(taxa_mensal,D122,-Planilha!aporte)</f>
        <v>204785.19248392835</v>
      </c>
      <c r="G122" s="38">
        <f t="shared" si="11"/>
        <v>92785.192483928346</v>
      </c>
    </row>
    <row r="123" spans="2:7" x14ac:dyDescent="0.3">
      <c r="B123" s="62">
        <v>113</v>
      </c>
      <c r="C123" s="63">
        <f t="shared" si="9"/>
        <v>9.4166666666666661</v>
      </c>
      <c r="D123" s="64">
        <f t="shared" si="10"/>
        <v>113</v>
      </c>
      <c r="E123" s="38">
        <f>Planilha!aporte*D123</f>
        <v>113000</v>
      </c>
      <c r="F123" s="38">
        <f>FV(taxa_mensal,D123,-Planilha!aporte)</f>
        <v>207833.04440876766</v>
      </c>
      <c r="G123" s="38">
        <f t="shared" si="11"/>
        <v>94833.044408767659</v>
      </c>
    </row>
    <row r="124" spans="2:7" x14ac:dyDescent="0.3">
      <c r="B124" s="62">
        <v>114</v>
      </c>
      <c r="C124" s="63">
        <f t="shared" si="9"/>
        <v>9.5</v>
      </c>
      <c r="D124" s="64">
        <f t="shared" si="10"/>
        <v>114</v>
      </c>
      <c r="E124" s="38">
        <f>Planilha!aporte*D124</f>
        <v>114000</v>
      </c>
      <c r="F124" s="38">
        <f>FV(taxa_mensal,D124,-Planilha!aporte)</f>
        <v>210911.37485285534</v>
      </c>
      <c r="G124" s="38">
        <f t="shared" si="11"/>
        <v>96911.374852855341</v>
      </c>
    </row>
    <row r="125" spans="2:7" x14ac:dyDescent="0.3">
      <c r="B125" s="62">
        <v>115</v>
      </c>
      <c r="C125" s="63">
        <f t="shared" si="9"/>
        <v>9.5833333333333339</v>
      </c>
      <c r="D125" s="64">
        <f t="shared" si="10"/>
        <v>115</v>
      </c>
      <c r="E125" s="38">
        <f>Planilha!aporte*D125</f>
        <v>115000</v>
      </c>
      <c r="F125" s="38">
        <f>FV(taxa_mensal,D125,-Planilha!aporte)</f>
        <v>214020.48860138384</v>
      </c>
      <c r="G125" s="38">
        <f t="shared" si="11"/>
        <v>99020.48860138384</v>
      </c>
    </row>
    <row r="126" spans="2:7" x14ac:dyDescent="0.3">
      <c r="B126" s="62">
        <v>116</v>
      </c>
      <c r="C126" s="63">
        <f t="shared" si="9"/>
        <v>9.6666666666666661</v>
      </c>
      <c r="D126" s="64">
        <f t="shared" si="10"/>
        <v>116</v>
      </c>
      <c r="E126" s="38">
        <f>Planilha!aporte*D126</f>
        <v>116000</v>
      </c>
      <c r="F126" s="38">
        <f>FV(taxa_mensal,D126,-Planilha!aporte)</f>
        <v>217160.69348739772</v>
      </c>
      <c r="G126" s="38">
        <f t="shared" si="11"/>
        <v>101160.69348739772</v>
      </c>
    </row>
    <row r="127" spans="2:7" x14ac:dyDescent="0.3">
      <c r="B127" s="62">
        <v>117</v>
      </c>
      <c r="C127" s="63">
        <f t="shared" si="9"/>
        <v>9.75</v>
      </c>
      <c r="D127" s="64">
        <f t="shared" si="10"/>
        <v>117</v>
      </c>
      <c r="E127" s="38">
        <f>Planilha!aporte*D127</f>
        <v>117000</v>
      </c>
      <c r="F127" s="38">
        <f>FV(taxa_mensal,D127,-Planilha!aporte)</f>
        <v>220332.30042227166</v>
      </c>
      <c r="G127" s="38">
        <f t="shared" si="11"/>
        <v>103332.30042227166</v>
      </c>
    </row>
    <row r="128" spans="2:7" x14ac:dyDescent="0.3">
      <c r="B128" s="62">
        <v>118</v>
      </c>
      <c r="C128" s="63">
        <f t="shared" si="9"/>
        <v>9.8333333333333321</v>
      </c>
      <c r="D128" s="64">
        <f t="shared" si="10"/>
        <v>117.99999999999999</v>
      </c>
      <c r="E128" s="38">
        <f>Planilha!aporte*D128</f>
        <v>117999.99999999999</v>
      </c>
      <c r="F128" s="38">
        <f>FV(taxa_mensal,D128,-Planilha!aporte)</f>
        <v>223535.62342649428</v>
      </c>
      <c r="G128" s="38">
        <f t="shared" si="11"/>
        <v>105535.62342649429</v>
      </c>
    </row>
    <row r="129" spans="2:7" x14ac:dyDescent="0.3">
      <c r="B129" s="62">
        <v>119</v>
      </c>
      <c r="C129" s="63">
        <f t="shared" si="9"/>
        <v>9.9166666666666679</v>
      </c>
      <c r="D129" s="64">
        <f t="shared" si="10"/>
        <v>119.00000000000001</v>
      </c>
      <c r="E129" s="38">
        <f>Planilha!aporte*D129</f>
        <v>119000.00000000001</v>
      </c>
      <c r="F129" s="38">
        <f>FV(taxa_mensal,D129,-Planilha!aporte)</f>
        <v>226770.9796607593</v>
      </c>
      <c r="G129" s="38">
        <f t="shared" si="11"/>
        <v>107770.97966075929</v>
      </c>
    </row>
    <row r="130" spans="2:7" x14ac:dyDescent="0.3">
      <c r="B130" s="62">
        <v>120</v>
      </c>
      <c r="C130" s="63">
        <f t="shared" si="9"/>
        <v>10</v>
      </c>
      <c r="D130" s="64">
        <f t="shared" si="10"/>
        <v>120</v>
      </c>
      <c r="E130" s="38">
        <f>Planilha!aporte*D130</f>
        <v>120000</v>
      </c>
      <c r="F130" s="38">
        <f>FV(taxa_mensal,D130,-Planilha!aporte)</f>
        <v>230038.68945736697</v>
      </c>
      <c r="G130" s="38">
        <f t="shared" si="11"/>
        <v>110038.68945736697</v>
      </c>
    </row>
  </sheetData>
  <mergeCells count="1">
    <mergeCell ref="B2:G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16</vt:i4>
      </vt:variant>
    </vt:vector>
  </HeadingPairs>
  <TitlesOfParts>
    <vt:vector size="20" baseType="lpstr">
      <vt:lpstr>Planilha</vt:lpstr>
      <vt:lpstr>Perfil </vt:lpstr>
      <vt:lpstr>Base do perfil</vt:lpstr>
      <vt:lpstr>Evolução</vt:lpstr>
      <vt:lpstr>Planilha!aporte</vt:lpstr>
      <vt:lpstr>custo_vida</vt:lpstr>
      <vt:lpstr>meses_reserva</vt:lpstr>
      <vt:lpstr>meta_reserva</vt:lpstr>
      <vt:lpstr>patrimonio</vt:lpstr>
      <vt:lpstr>pct_investir</vt:lpstr>
      <vt:lpstr>qtd_anos</vt:lpstr>
      <vt:lpstr>renda_extra</vt:lpstr>
      <vt:lpstr>renda_total</vt:lpstr>
      <vt:lpstr>rendimento_liquido</vt:lpstr>
      <vt:lpstr>reserva_atual</vt:lpstr>
      <vt:lpstr>salario</vt:lpstr>
      <vt:lpstr>sobra</vt:lpstr>
      <vt:lpstr>sugestao_investimento</vt:lpstr>
      <vt:lpstr>taxa_mensal</vt:lpstr>
      <vt:lpstr>total_investido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Castro</dc:creator>
  <cp:lastModifiedBy>Kauã Castro</cp:lastModifiedBy>
  <cp:lastPrinted>2026-10-07T23:08:12Z</cp:lastPrinted>
  <dcterms:created xsi:type="dcterms:W3CDTF">2026-10-05T23:25:06Z</dcterms:created>
  <dcterms:modified xsi:type="dcterms:W3CDTF">2026-10-17T00:22:27Z</dcterms:modified>
</cp:coreProperties>
</file>